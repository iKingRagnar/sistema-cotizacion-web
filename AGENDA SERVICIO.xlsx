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8e18f5bf466f341/Universal Maquinas y Herramientas SA de CV/"/>
    </mc:Choice>
  </mc:AlternateContent>
  <xr:revisionPtr revIDLastSave="897" documentId="13_ncr:1_{02DC7D21-860E-435A-82AB-7A44A2B5EB83}" xr6:coauthVersionLast="47" xr6:coauthVersionMax="47" xr10:uidLastSave="{3C079AB6-CAF3-4B77-84ED-877B65214629}"/>
  <bookViews>
    <workbookView xWindow="-110" yWindow="-110" windowWidth="25820" windowHeight="15500" firstSheet="5" activeTab="5" xr2:uid="{F9033430-50C7-4D41-A3CF-349F9F350D6C}"/>
  </bookViews>
  <sheets>
    <sheet name="REPORTE" sheetId="10" r:id="rId1"/>
    <sheet name="VIATICOS" sheetId="12" r:id="rId2"/>
    <sheet name="COTUSD" sheetId="8" r:id="rId3"/>
    <sheet name="COTUSD2" sheetId="13" r:id="rId4"/>
    <sheet name="COTMN" sheetId="11" r:id="rId5"/>
    <sheet name="SERVICIOS" sheetId="4" r:id="rId6"/>
    <sheet name="TARIFAS" sheetId="5" r:id="rId7"/>
    <sheet name="BONOS2026" sheetId="9" r:id="rId8"/>
  </sheets>
  <definedNames>
    <definedName name="_xlnm._FilterDatabase" localSheetId="7" hidden="1">BONOS2026!$A$1:$M$22</definedName>
    <definedName name="_xlnm._FilterDatabase" localSheetId="5" hidden="1">SERVICIOS!$A$1:$O$67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3" l="1"/>
  <c r="G42" i="13" s="1"/>
  <c r="C34" i="12"/>
  <c r="C36" i="12" s="1"/>
  <c r="G44" i="13" l="1"/>
  <c r="G43" i="11"/>
  <c r="G41" i="11"/>
  <c r="G42" i="11" l="1"/>
  <c r="N28" i="5"/>
  <c r="C32" i="5"/>
  <c r="G41" i="8"/>
  <c r="L22" i="9"/>
  <c r="M22" i="9" s="1"/>
  <c r="L21" i="9"/>
  <c r="M21" i="9" s="1"/>
  <c r="L20" i="9"/>
  <c r="M20" i="9" s="1"/>
  <c r="L19" i="9"/>
  <c r="M19" i="9"/>
  <c r="L13" i="9"/>
  <c r="M13" i="9" s="1"/>
  <c r="L14" i="9"/>
  <c r="M14" i="9" s="1"/>
  <c r="L15" i="9"/>
  <c r="M15" i="9" s="1"/>
  <c r="L16" i="9"/>
  <c r="M16" i="9" s="1"/>
  <c r="L17" i="9"/>
  <c r="M17" i="9" s="1"/>
  <c r="L18" i="9"/>
  <c r="M18" i="9" s="1"/>
  <c r="C28" i="5"/>
  <c r="D28" i="5"/>
  <c r="L3" i="9"/>
  <c r="M3" i="9" s="1"/>
  <c r="L4" i="9"/>
  <c r="M4" i="9" s="1"/>
  <c r="L5" i="9"/>
  <c r="M5" i="9" s="1"/>
  <c r="L6" i="9"/>
  <c r="M6" i="9" s="1"/>
  <c r="L7" i="9"/>
  <c r="M7" i="9" s="1"/>
  <c r="L8" i="9"/>
  <c r="M8" i="9" s="1"/>
  <c r="L9" i="9"/>
  <c r="M9" i="9" s="1"/>
  <c r="L10" i="9"/>
  <c r="M10" i="9" s="1"/>
  <c r="L11" i="9"/>
  <c r="M11" i="9" s="1"/>
  <c r="L12" i="9"/>
  <c r="M12" i="9" s="1"/>
  <c r="L2" i="9"/>
  <c r="M2" i="9" s="1"/>
  <c r="N24" i="5"/>
  <c r="N32" i="5"/>
  <c r="N20" i="5"/>
  <c r="N4" i="5"/>
  <c r="D16" i="5"/>
  <c r="E16" i="5"/>
  <c r="F16" i="5"/>
  <c r="G16" i="5"/>
  <c r="H16" i="5"/>
  <c r="I16" i="5"/>
  <c r="J16" i="5"/>
  <c r="K16" i="5"/>
  <c r="L16" i="5"/>
  <c r="C16" i="5"/>
  <c r="N16" i="5"/>
  <c r="G42" i="8" l="1"/>
  <c r="G44" i="8" s="1"/>
  <c r="D24" i="5"/>
  <c r="E24" i="5"/>
  <c r="F24" i="5"/>
  <c r="G24" i="5"/>
  <c r="H24" i="5"/>
  <c r="I24" i="5"/>
  <c r="J24" i="5"/>
  <c r="K24" i="5"/>
  <c r="L24" i="5"/>
  <c r="C24" i="5"/>
  <c r="D12" i="5"/>
  <c r="E12" i="5"/>
  <c r="F12" i="5"/>
  <c r="G12" i="5"/>
  <c r="H12" i="5"/>
  <c r="I12" i="5"/>
  <c r="J12" i="5"/>
  <c r="K12" i="5"/>
  <c r="L12" i="5"/>
  <c r="C12" i="5"/>
  <c r="N12" i="5" s="1"/>
  <c r="D32" i="5"/>
  <c r="E32" i="5"/>
  <c r="F32" i="5"/>
  <c r="G32" i="5"/>
  <c r="H32" i="5"/>
  <c r="I32" i="5"/>
  <c r="J32" i="5"/>
  <c r="K32" i="5"/>
  <c r="L32" i="5"/>
  <c r="E28" i="5"/>
  <c r="F28" i="5"/>
  <c r="G28" i="5"/>
  <c r="H28" i="5"/>
  <c r="I28" i="5"/>
  <c r="J28" i="5"/>
  <c r="K28" i="5"/>
  <c r="L28" i="5"/>
  <c r="D8" i="5"/>
  <c r="E8" i="5"/>
  <c r="F8" i="5"/>
  <c r="G8" i="5"/>
  <c r="H8" i="5"/>
  <c r="I8" i="5"/>
  <c r="J8" i="5"/>
  <c r="K8" i="5"/>
  <c r="L8" i="5"/>
  <c r="C8" i="5"/>
  <c r="N8" i="5" s="1"/>
  <c r="D20" i="5"/>
  <c r="E20" i="5"/>
  <c r="F20" i="5"/>
  <c r="G20" i="5"/>
  <c r="H20" i="5"/>
  <c r="I20" i="5"/>
  <c r="J20" i="5"/>
  <c r="K20" i="5"/>
  <c r="L20" i="5"/>
  <c r="C20" i="5"/>
  <c r="D4" i="5"/>
  <c r="E4" i="5"/>
  <c r="F4" i="5"/>
  <c r="G4" i="5"/>
  <c r="H4" i="5"/>
  <c r="I4" i="5"/>
  <c r="J4" i="5"/>
  <c r="K4" i="5"/>
  <c r="L4" i="5"/>
  <c r="C4" i="5"/>
  <c r="I41" i="5" l="1"/>
  <c r="I39" i="5"/>
  <c r="I37" i="5"/>
  <c r="M41" i="5" l="1"/>
  <c r="M44" i="5" s="1"/>
  <c r="N44" i="5" s="1"/>
  <c r="J37" i="5"/>
  <c r="M37" i="5"/>
  <c r="J41" i="5"/>
  <c r="J39" i="5"/>
  <c r="N39" i="5"/>
  <c r="N37" i="5" l="1"/>
  <c r="N4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Cantu</author>
  </authors>
  <commentList>
    <comment ref="L6" authorId="0" shapeId="0" xr:uid="{51A5A8EC-CC2F-4F3F-971C-BF00BA397E61}">
      <text>
        <r>
          <rPr>
            <b/>
            <sz val="9"/>
            <color indexed="81"/>
            <rFont val="Tahoma"/>
            <family val="2"/>
          </rPr>
          <t>David Cantu:</t>
        </r>
        <r>
          <rPr>
            <sz val="9"/>
            <color indexed="81"/>
            <rFont val="Tahoma"/>
            <family val="2"/>
          </rPr>
          <t xml:space="preserve">
DANIEL PIÑA DE VACACIONES, NECESITAMOS A ALGUIEN DE ALMACEN QUE LLEVE A JORGE</t>
        </r>
      </text>
    </comment>
    <comment ref="L7" authorId="0" shapeId="0" xr:uid="{B2883DCA-17BB-4217-8432-868E27E89C32}">
      <text>
        <r>
          <rPr>
            <b/>
            <sz val="9"/>
            <color indexed="81"/>
            <rFont val="Tahoma"/>
            <family val="2"/>
          </rPr>
          <t>David Cantu:</t>
        </r>
        <r>
          <rPr>
            <sz val="9"/>
            <color indexed="81"/>
            <rFont val="Tahoma"/>
            <family val="2"/>
          </rPr>
          <t xml:space="preserve">
DANIEL PIÑA DE VACACIONES, NECESITAMOS A ALGUIEN DE ALMACEN QUE LLEVE A JORGE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Cantu</author>
  </authors>
  <commentList>
    <comment ref="J1" authorId="0" shapeId="0" xr:uid="{6EEFB4F6-C8A8-4E79-8199-D2894690953E}">
      <text>
        <r>
          <rPr>
            <b/>
            <sz val="9"/>
            <color indexed="81"/>
            <rFont val="Tahoma"/>
            <family val="2"/>
          </rPr>
          <t>BONO POR CAPACITACION FORANEA $1,000.00MN
BONO POR CAPACITACION LOCAL $500.00MN
BONO POR CAPACITACION LINEA $800.00MN
BONO DE $1,000.00MN POR CADA $20,000.00MN EN SERVICIO</t>
        </r>
      </text>
    </comment>
    <comment ref="L1" authorId="0" shapeId="0" xr:uid="{32F7639A-82AC-43CC-B0F7-AC7340368D1A}">
      <text>
        <r>
          <rPr>
            <b/>
            <sz val="9"/>
            <color indexed="81"/>
            <rFont val="Tahoma"/>
            <family val="2"/>
          </rPr>
          <t xml:space="preserve">BONO POR DIA
$500.00MN
</t>
        </r>
      </text>
    </comment>
  </commentList>
</comments>
</file>

<file path=xl/sharedStrings.xml><?xml version="1.0" encoding="utf-8"?>
<sst xmlns="http://schemas.openxmlformats.org/spreadsheetml/2006/main" count="854" uniqueCount="370">
  <si>
    <t>UNIVERSAL MAQUINAS Y HERRAMIENTAS SA DE CV
Av. Ruiz Cortines No. 2408 Pte. Col. Mitras Centro
Monterrey N.L.  C.P. 64460
Tels / Fax: 8346-3622, 8346-8950, 8347-1792,
8333-5044</t>
  </si>
  <si>
    <t>REPORTE TÉCNICO</t>
  </si>
  <si>
    <t>Fecha:</t>
  </si>
  <si>
    <t>Razon Social:</t>
  </si>
  <si>
    <t>PROENSI INDUSTRIAL SA DE CV</t>
  </si>
  <si>
    <r>
      <t>Direccion:</t>
    </r>
    <r>
      <rPr>
        <sz val="9"/>
        <rFont val="CopprplGoth BT"/>
        <family val="2"/>
      </rPr>
      <t/>
    </r>
  </si>
  <si>
    <t>Teléfono:</t>
  </si>
  <si>
    <t>Tipo de Maquina:</t>
  </si>
  <si>
    <t>CORTADORA LASER PLANA DE 3000W + CORTADORA LASER TUBULAR</t>
  </si>
  <si>
    <t>Modelo:</t>
  </si>
  <si>
    <t>Serie:</t>
  </si>
  <si>
    <t>Descripción del problema:</t>
  </si>
  <si>
    <t>LA MAQUINA PRESENTO IMPERFECTOS EN TOLVAS POR CUESTIONES DE ENVIO, EL ENCODER DEL MOTOR ROTATIVO DAÑADO, TERMINAL DEL CHILLER DAÑADA Y PUESTA EN MARCHA PENDIENTE.</t>
  </si>
  <si>
    <t>Trabajo Realizado:</t>
  </si>
  <si>
    <t>SE REEMPLAZARON LAS PIEZAS DAÑADAS EN LA MAQUINA, SE COMPLETO LA PUESTA EN MARCHA Y DIO LA CAPACITACION DE CORTADORA LASER PLANA, CORTADORA LASER ROTATIVA Y CONFIGURACION DEL COMPRESOR.</t>
  </si>
  <si>
    <t>Comentarios:</t>
  </si>
  <si>
    <t>Recibí de Conformidad</t>
  </si>
  <si>
    <t>DAVID ORLANDO CANTU TREVIÑO</t>
  </si>
  <si>
    <t>Nombre y firma</t>
  </si>
  <si>
    <t>Visitó Técnico</t>
  </si>
  <si>
    <t>Universal Maquinas y Herramientas, S.A de C.V.</t>
  </si>
  <si>
    <t>CLIENTE:</t>
  </si>
  <si>
    <t>MAQUINA:</t>
  </si>
  <si>
    <t>ESTADO:</t>
  </si>
  <si>
    <t>ASUNTO:</t>
  </si>
  <si>
    <t>TICKET O COMPROBANTE</t>
  </si>
  <si>
    <t>TOTAL GASTOS</t>
  </si>
  <si>
    <t>PRESUPUESTO</t>
  </si>
  <si>
    <t>TOTAL</t>
  </si>
  <si>
    <t>CUENTAS PARA DEPOSITO O TRANSFERENCIA
UNIVERSAL MAQUINAS Y HERRAMIENTAS SA DE CV
RFC UMH010917LU0
AV ADOLFO RUIZ CORTINES #2408 PTE
COL MITRAS CENTRO
MONTERREY NUEVO LEON C.P. 64460
BANORTE MONEDA NACIONAL
CUENTA 1190591857
CLABE 072 580 01190591857 2
BANORTE DOLARES
CUENTA 1190589742
CLABE 072 580 01190589742 8
BANREGIO MONEDA NACIONAL
051 02623 0016
CLABE 058580510262300160
BANREGIO DOLARES
051 02623 0024
CLABE 058580510262300241</t>
  </si>
  <si>
    <t>UNIVERSAL MAQUINAS Y HERRAMIENTAS                                                                    
Tel:(81) 8346 8950   Ext: 107
WhatsApp:(81) 3554 6004
serviciotecnico@universalmaquinaria.com
www.universalmaquinaria.com</t>
  </si>
  <si>
    <t>ENTREGADO A:</t>
  </si>
  <si>
    <t>CONTACTO</t>
  </si>
  <si>
    <t>FERNANDO MORALES</t>
  </si>
  <si>
    <t>RAZON SOCIAL</t>
  </si>
  <si>
    <t>GRUPO MARRO</t>
  </si>
  <si>
    <t>DIRECCION</t>
  </si>
  <si>
    <t>CIUDAD</t>
  </si>
  <si>
    <t>MONTERREY, NUEVO LEON</t>
  </si>
  <si>
    <t>FECHA</t>
  </si>
  <si>
    <t>CORTADORA LASER 3000W MODELO:3015 No. SERIE: 230626-120</t>
  </si>
  <si>
    <t>CANTIDAD</t>
  </si>
  <si>
    <t>DESCRIPCION</t>
  </si>
  <si>
    <t>PRECIO UNITARIO</t>
  </si>
  <si>
    <t>BOMBA DE AGUA PARA CHILLER CWF-3000</t>
  </si>
  <si>
    <t>SWITCH DE PRESION NITROGENO</t>
  </si>
  <si>
    <t>CUBRE POLVO EN EJE "X"</t>
  </si>
  <si>
    <t>CUBRE POLVO EN EJE "Y"</t>
  </si>
  <si>
    <t>SOPORTES DE CAMA</t>
  </si>
  <si>
    <t>TIEMPO DE ENTREGA 10-15 DIAS</t>
  </si>
  <si>
    <t>IVA</t>
  </si>
  <si>
    <t>GARANTIA DE 3 MESES EN COMPONENTES</t>
  </si>
  <si>
    <t>T.C.</t>
  </si>
  <si>
    <t>NETO</t>
  </si>
  <si>
    <t>NOTA</t>
  </si>
  <si>
    <t>Compartir lo siguiente una ves efectuado el pago, voucher, la constancia de situación fiscal actualizada, un correo electrónico y el uso de CFDI.
Vía WhatsApp +52 81 3554 6004 o por correo serviciotecnico@universalmaquinaria.com</t>
  </si>
  <si>
    <t>RESONADOR MARCA RAYCUS 3000W</t>
  </si>
  <si>
    <t>CABEZAL DE CORTE MODELO: BM110</t>
  </si>
  <si>
    <t>MANO DE OBRA INCLUYE:</t>
  </si>
  <si>
    <t>MANTENIMIENTO GENERAL</t>
  </si>
  <si>
    <t>PUESTA EN MARCHA DEL EQUIPO</t>
  </si>
  <si>
    <t>CONFIGURACION DE COMPONENTES</t>
  </si>
  <si>
    <t>MAQUINA</t>
  </si>
  <si>
    <t>No. SERIE</t>
  </si>
  <si>
    <t>TELEFONO</t>
  </si>
  <si>
    <t>SERVICIO</t>
  </si>
  <si>
    <t>FECHA REPORTE</t>
  </si>
  <si>
    <t>FECHA PROGRAMADA</t>
  </si>
  <si>
    <t>MOTIVO</t>
  </si>
  <si>
    <t>TECNICO</t>
  </si>
  <si>
    <t>TECNICO 2</t>
  </si>
  <si>
    <t>TECNICO 3</t>
  </si>
  <si>
    <t>ESTADO</t>
  </si>
  <si>
    <t>COMENTARIO</t>
  </si>
  <si>
    <t>TALLERES MARTINEZ</t>
  </si>
  <si>
    <t>MIGUEL VARGAS</t>
  </si>
  <si>
    <t>DOBLADORA 16/3200</t>
  </si>
  <si>
    <t>GARANTIA</t>
  </si>
  <si>
    <t>FUGA DE ACEITE</t>
  </si>
  <si>
    <t>JORGE RODRIGUEZ</t>
  </si>
  <si>
    <t>DANIEL PIÑA</t>
  </si>
  <si>
    <t>FINALIZADO</t>
  </si>
  <si>
    <t>INGENIERIA JCG</t>
  </si>
  <si>
    <t>NA</t>
  </si>
  <si>
    <t>SIERRA H300-H400</t>
  </si>
  <si>
    <t>MIRASOL</t>
  </si>
  <si>
    <t>CAPACITACION</t>
  </si>
  <si>
    <t>DUDAS TECNICAS</t>
  </si>
  <si>
    <t>TAMTOME</t>
  </si>
  <si>
    <t>EDUARDO</t>
  </si>
  <si>
    <t>TORNO CM1640</t>
  </si>
  <si>
    <t>LOS ALTOS ESCOBEDO</t>
  </si>
  <si>
    <t>HIDRAULICOS Y EQUIPOS DE CARGA MEZA</t>
  </si>
  <si>
    <t>FERNANDO MEZA</t>
  </si>
  <si>
    <t>LASER 1500W</t>
  </si>
  <si>
    <t>GUADALUPE</t>
  </si>
  <si>
    <t>ENTREGA DE CPU</t>
  </si>
  <si>
    <t>SOLUCIONES VYR</t>
  </si>
  <si>
    <t>VERONICA TREVIÑO</t>
  </si>
  <si>
    <t>SIERRA 7*12</t>
  </si>
  <si>
    <t>SAN NICOLAS</t>
  </si>
  <si>
    <t>CAMBIO DE PALANCA DE PRENSA</t>
  </si>
  <si>
    <t>AUX ALMACEN</t>
  </si>
  <si>
    <t>DISEÑO DE MAQUINAS Y PROYECTOS</t>
  </si>
  <si>
    <t>RAUL CASTILLO</t>
  </si>
  <si>
    <t>FRESA 12*59</t>
  </si>
  <si>
    <t>LA INDUSTRIAL</t>
  </si>
  <si>
    <t>AL MOMENTO DE PONER EL CABEZAL A 45 TRONO UN TORNILLO</t>
  </si>
  <si>
    <t>ELECTRO MECANICA AVANZADA</t>
  </si>
  <si>
    <t>JOSE PEDRAZA</t>
  </si>
  <si>
    <t>TORNO 14*40</t>
  </si>
  <si>
    <t>MIRASOL 1 SERC</t>
  </si>
  <si>
    <t>ALINEACION DE BANCADA</t>
  </si>
  <si>
    <t>MAQUINADOS CEMA</t>
  </si>
  <si>
    <t>ALONDRA</t>
  </si>
  <si>
    <t>CM1660 C/DISPLAY</t>
  </si>
  <si>
    <t>JARDINES DE LA MODERNA</t>
  </si>
  <si>
    <t>NO PRENDE EL DISPLAY</t>
  </si>
  <si>
    <t>JUAN CRUZ FLORES VALLES</t>
  </si>
  <si>
    <t>CK300</t>
  </si>
  <si>
    <t>PIEDRAS NEGRAS</t>
  </si>
  <si>
    <t>INSTALACION Y CAPACITACION</t>
  </si>
  <si>
    <t>DAVID CANTU</t>
  </si>
  <si>
    <t>GILBERTO JACIEL BRIONES CASTILLO</t>
  </si>
  <si>
    <t>JACIEL BRIONES</t>
  </si>
  <si>
    <t>FRESA CNC</t>
  </si>
  <si>
    <t>NUEVO LAREDO</t>
  </si>
  <si>
    <t>CAMBIO DE TUBO DE ACEITE</t>
  </si>
  <si>
    <t>ALEJANDRO GONZALES</t>
  </si>
  <si>
    <t>BOSTON CAD DE MEXICO</t>
  </si>
  <si>
    <t>SALTILLO</t>
  </si>
  <si>
    <t>FALLA EN MICROSWITCH</t>
  </si>
  <si>
    <t>SIGMAIMECSA</t>
  </si>
  <si>
    <t>ADIAN</t>
  </si>
  <si>
    <t>XH7126C</t>
  </si>
  <si>
    <t>CENTRO MONTERREY</t>
  </si>
  <si>
    <t>INSTALACION</t>
  </si>
  <si>
    <t>INSTALACION Y NIVELACION</t>
  </si>
  <si>
    <t>ARRENDADORA VE POR MAS</t>
  </si>
  <si>
    <t>GUSTAVO ALVARADO</t>
  </si>
  <si>
    <t>APODACA, MEZQUITAL</t>
  </si>
  <si>
    <t>MSS REYNOSA</t>
  </si>
  <si>
    <t>ISABEL</t>
  </si>
  <si>
    <t>BARRENADORA</t>
  </si>
  <si>
    <t>LLAMADA</t>
  </si>
  <si>
    <t>CAPACITACION DUDAS TECNICAS POR VIDEOLLAMADA</t>
  </si>
  <si>
    <t>TEXAS TOOLS</t>
  </si>
  <si>
    <t>VICTOR MTZ</t>
  </si>
  <si>
    <t>EDM DE HILO</t>
  </si>
  <si>
    <t>TEMA ELECTRICO</t>
  </si>
  <si>
    <t>DISEÑO Y MAQUINADOS INDUSTRIALES TELLEZ</t>
  </si>
  <si>
    <t>ESTEBAN TELLEZ</t>
  </si>
  <si>
    <t>LASER</t>
  </si>
  <si>
    <t>NO HACE EL CAMBIO DE NITROGENO A OXIGENO</t>
  </si>
  <si>
    <t>MIGUEL ANGEL CASTILLA</t>
  </si>
  <si>
    <t>MIGUEL ANGEL</t>
  </si>
  <si>
    <t>TORNO 20*60</t>
  </si>
  <si>
    <t>SANTA LUCIA MTY</t>
  </si>
  <si>
    <t>INSTALACION TOLVA LATERAL</t>
  </si>
  <si>
    <t>MEXTRADE</t>
  </si>
  <si>
    <t>DANIEL GARZA</t>
  </si>
  <si>
    <t>ROLADORA HIDRAULICA</t>
  </si>
  <si>
    <t>GARCIA</t>
  </si>
  <si>
    <t>OPERACIÓN Y CAPACITACION</t>
  </si>
  <si>
    <t>JUAREZ</t>
  </si>
  <si>
    <t>BASCULAS NUEVO LEON</t>
  </si>
  <si>
    <t>COL. VICTORIA</t>
  </si>
  <si>
    <t>INSTALACION REGLA 1020 COMPLETA</t>
  </si>
  <si>
    <t>JOSE ANGEL GUTIERREZ FARFAN</t>
  </si>
  <si>
    <t>JOSE GUTIERREZ</t>
  </si>
  <si>
    <t>GUILLOTINA MECANICA</t>
  </si>
  <si>
    <t>REQUIERE SOLO VIDEOLLAMADA PARA DUDAS TECNICAS</t>
  </si>
  <si>
    <t>RDZ PECIZE</t>
  </si>
  <si>
    <t>ARTURO CUEVAS</t>
  </si>
  <si>
    <t>HZ900L</t>
  </si>
  <si>
    <t>QUERETARO</t>
  </si>
  <si>
    <t>DUDAS SOBRE CAMBIO DE CLAMP CONTROL FANUC/GSK</t>
  </si>
  <si>
    <t>TONATIUH DE LA CRUZ</t>
  </si>
  <si>
    <t>LASER 3000W</t>
  </si>
  <si>
    <t>SANTA CATARINA</t>
  </si>
  <si>
    <t>MANTENIMIENTO AL CHILLER</t>
  </si>
  <si>
    <t>QUALITY FINANCIAL SERVICES</t>
  </si>
  <si>
    <t>MARCELO VILLARREAL</t>
  </si>
  <si>
    <t>TORNO CM1660</t>
  </si>
  <si>
    <t>MONTERREY</t>
  </si>
  <si>
    <t>pruebas con flecha</t>
  </si>
  <si>
    <t>GRUMA</t>
  </si>
  <si>
    <t>ANGEL MENDEZ</t>
  </si>
  <si>
    <t>RECTIFICADORA</t>
  </si>
  <si>
    <t>INSTALACION BOMBA Y MOTOR</t>
  </si>
  <si>
    <t>SALDAÑA</t>
  </si>
  <si>
    <t>ELEVADOR HIDRAULICO</t>
  </si>
  <si>
    <t>BOTO LA PASTILLA</t>
  </si>
  <si>
    <t>ALEJANDRO GONZALEZ</t>
  </si>
  <si>
    <t>TSM INDUSTRIAL</t>
  </si>
  <si>
    <t>ALEJANDRO AGUILAR</t>
  </si>
  <si>
    <t>FRESA 10*54</t>
  </si>
  <si>
    <t>DETALLE EN ALIMENTADOR NO ENCIENDE</t>
  </si>
  <si>
    <t>MOBILIAMEX</t>
  </si>
  <si>
    <t>DOBLADORA 30/1600</t>
  </si>
  <si>
    <t>UNIVERSAL MAQUINARIA</t>
  </si>
  <si>
    <t>BODEGA MTY</t>
  </si>
  <si>
    <t>ARMADO Y PRUEBA</t>
  </si>
  <si>
    <t>DANIEL</t>
  </si>
  <si>
    <t>RETIRO DE RODILLOS</t>
  </si>
  <si>
    <t>PENDIENTE</t>
  </si>
  <si>
    <t>INSTALAR RODILLOS</t>
  </si>
  <si>
    <t>VARGAS</t>
  </si>
  <si>
    <t>CAPATICACION</t>
  </si>
  <si>
    <t>CAPACITACION EXTRA</t>
  </si>
  <si>
    <t>JORGE POMPA TOSCANO</t>
  </si>
  <si>
    <t>CENTRO XH7126</t>
  </si>
  <si>
    <t>AGUA FRIA NUEVO LEON</t>
  </si>
  <si>
    <t>INSTALACION CENTRO DE MAQUINADO</t>
  </si>
  <si>
    <t>FABRICACION Y SERVICIOS EMM</t>
  </si>
  <si>
    <t>ELIUDH VILLARREAL</t>
  </si>
  <si>
    <t>DOBLADORA 160/3200</t>
  </si>
  <si>
    <t>MONCLOVA</t>
  </si>
  <si>
    <t>RETEN DE LA BOMBA HIDRAULICA</t>
  </si>
  <si>
    <t>TERMOPUERTAS</t>
  </si>
  <si>
    <t>MAURICIO LOZANO</t>
  </si>
  <si>
    <t>CM1660/SIERRA712</t>
  </si>
  <si>
    <t>APODACA</t>
  </si>
  <si>
    <t>DIAGNOSTICO</t>
  </si>
  <si>
    <t>DIAGNOSTICO EN FRESA Y SIERRA 712</t>
  </si>
  <si>
    <t>COTIZACION ENVIADA</t>
  </si>
  <si>
    <t>JESUS ALBERTO ARVIZU</t>
  </si>
  <si>
    <t>LASER 6000W</t>
  </si>
  <si>
    <t>VIDEOLLAMADA</t>
  </si>
  <si>
    <t>CAPACITACION VIDEOLLAMADA</t>
  </si>
  <si>
    <t>MAQUINARIUM DE MEXICO</t>
  </si>
  <si>
    <t>FRANCISCO TREVIÑO</t>
  </si>
  <si>
    <t>SIERRA 712</t>
  </si>
  <si>
    <t>BOMBA DE SOLUBLE</t>
  </si>
  <si>
    <t>PENDIENTE CONFIRMAR GARANTIA</t>
  </si>
  <si>
    <t>ALMA DELIA</t>
  </si>
  <si>
    <t>TORNO TK50</t>
  </si>
  <si>
    <t>GRACIDA</t>
  </si>
  <si>
    <t>CAMBIO DE HERRAMIENTA</t>
  </si>
  <si>
    <t>ROBERTO DE ORTA</t>
  </si>
  <si>
    <t>JULIO UNIVERSAL</t>
  </si>
  <si>
    <t>GUADALAJARA</t>
  </si>
  <si>
    <t>INSTALACION CAPACITACION</t>
  </si>
  <si>
    <t>FECHA TENTATIVA</t>
  </si>
  <si>
    <t>INDALUM</t>
  </si>
  <si>
    <t>DANIEL PEREZ</t>
  </si>
  <si>
    <t>TORNO DALIAN CNC</t>
  </si>
  <si>
    <t>MANTENIMIENTO</t>
  </si>
  <si>
    <t>DETALLE EN ALIMENTADOR</t>
  </si>
  <si>
    <t>HAY QUE CONSEGUIR ENGRANE NYLON YA QUE NO HAY EN INVENTARIO</t>
  </si>
  <si>
    <t>FRESADORA 12*59"</t>
  </si>
  <si>
    <t>SOLDADORA LASER</t>
  </si>
  <si>
    <t>GRACIDA SISTEMAS</t>
  </si>
  <si>
    <t>JOSE ANTONIO GARCIA PULIDO</t>
  </si>
  <si>
    <t>ANTONIO PULIDO</t>
  </si>
  <si>
    <t>COMPRESOR 20HP</t>
  </si>
  <si>
    <t>SAN JORGE</t>
  </si>
  <si>
    <t>81 1591 0199</t>
  </si>
  <si>
    <t>CAMBIO DE ACEITE Y FILTRO</t>
  </si>
  <si>
    <t>JESUS SANCHEZ GARAY</t>
  </si>
  <si>
    <t>Lead Jesus Sanchez</t>
  </si>
  <si>
    <t>2 CK300</t>
  </si>
  <si>
    <t>SAN LUIS POTOSI</t>
  </si>
  <si>
    <t>PENDIENTE COTIZACION</t>
  </si>
  <si>
    <t>UNIVERDIDAD DE GUADALAJARA</t>
  </si>
  <si>
    <t>FRESA CNC Y CK300</t>
  </si>
  <si>
    <t>TABASCO</t>
  </si>
  <si>
    <t>PENDIENTE COTIZACION SOBRE LA CAPACITACION</t>
  </si>
  <si>
    <t>EXTERNO</t>
  </si>
  <si>
    <t>JORGE GARZA</t>
  </si>
  <si>
    <t>GUILLOTINA</t>
  </si>
  <si>
    <t>NIÑO ARTILLERO</t>
  </si>
  <si>
    <t>GUILLOTINA NO HACE EL CORTE CORRECTAMENTE</t>
  </si>
  <si>
    <t>DULIO ELIAS JAIME</t>
  </si>
  <si>
    <t>DULIO ELIAS</t>
  </si>
  <si>
    <t>AUN NO PROGRAMAR HASTA QUE CLIENTE CONFIRME</t>
  </si>
  <si>
    <t>FABIOLA ENRIQUETA RUIZ GARCIA</t>
  </si>
  <si>
    <t>INSTALACION CAPACITACION LASER 3000W</t>
  </si>
  <si>
    <t>GOLPEADA POR ALMACEN</t>
  </si>
  <si>
    <t>RAMON IRAHAM ARAGON CARBAJAL</t>
  </si>
  <si>
    <t>DOBLADORA CNC</t>
  </si>
  <si>
    <t>SEINRESA</t>
  </si>
  <si>
    <t>RAMSES</t>
  </si>
  <si>
    <t>VMC1050</t>
  </si>
  <si>
    <t>SAN NICOLAS DE LOS GARZA</t>
  </si>
  <si>
    <t>TECNOTROQUELES</t>
  </si>
  <si>
    <t>PENDIENTE ENVIAR COTIZACION</t>
  </si>
  <si>
    <t>DESARROLLADORES INDUSTRIALES MONCA</t>
  </si>
  <si>
    <t>CHRISTOFER SANCHEZ</t>
  </si>
  <si>
    <t>TORNO CNC CK300/450</t>
  </si>
  <si>
    <t>FALLA EN TORRETA</t>
  </si>
  <si>
    <t>ROLANDO GUTIERREZ CHAPA</t>
  </si>
  <si>
    <t>ROLANDO GUTIERREZ</t>
  </si>
  <si>
    <t>SOLADORA LASER 1500W</t>
  </si>
  <si>
    <t>MANUEL L BARRAGAN</t>
  </si>
  <si>
    <t>JOSE ESPINOZA GODOY</t>
  </si>
  <si>
    <t>TORNO CK300</t>
  </si>
  <si>
    <t>MTY</t>
  </si>
  <si>
    <t>JORGE POMPA TOSCANA</t>
  </si>
  <si>
    <t>DANIEL PUENTE</t>
  </si>
  <si>
    <t>AGUA FRIA</t>
  </si>
  <si>
    <t>GUFA DE AGUA</t>
  </si>
  <si>
    <t>YA QUEDO</t>
  </si>
  <si>
    <t>ALMA LETICIA CAVAZOS DE LEON</t>
  </si>
  <si>
    <t>EDM HILO</t>
  </si>
  <si>
    <t>REYNOSA</t>
  </si>
  <si>
    <t>899 122 2134</t>
  </si>
  <si>
    <t>VIDEOLLAMADA PARA INSTALACION Y CAPACITACION</t>
  </si>
  <si>
    <t xml:space="preserve">JUAN MANUEL AMBRIZ </t>
  </si>
  <si>
    <t>25J636</t>
  </si>
  <si>
    <t xml:space="preserve">MONTERREY </t>
  </si>
  <si>
    <t xml:space="preserve">INSTALACION </t>
  </si>
  <si>
    <t xml:space="preserve">AUN NO SE ENTREGA LA MAQUINA </t>
  </si>
  <si>
    <t>EMMA GARCIA REYES</t>
  </si>
  <si>
    <t>CENTRO VMC850</t>
  </si>
  <si>
    <t>ALUMINOX</t>
  </si>
  <si>
    <t>OBED CRUZ</t>
  </si>
  <si>
    <t>NIVELADORA DE PLACA</t>
  </si>
  <si>
    <t>GABRIEL ALMACEN</t>
  </si>
  <si>
    <t>SOLICITAR UN CHOFER A ALMACEN PARA EL VIERNES SIN FALTA</t>
  </si>
  <si>
    <t>TRASLADO EN CARRO</t>
  </si>
  <si>
    <t>HORAS DE TRASLADO</t>
  </si>
  <si>
    <t>HORAS</t>
  </si>
  <si>
    <t>COSTO POR HORA</t>
  </si>
  <si>
    <t>MECANICO</t>
  </si>
  <si>
    <t>HORAS DE TRABAJO</t>
  </si>
  <si>
    <t>MECANICO 2 PERSONAS</t>
  </si>
  <si>
    <t>MECANICO 3 PERSONAS</t>
  </si>
  <si>
    <t>ELECTRONICO</t>
  </si>
  <si>
    <t>ELECTRONICO 2 PERSONAS</t>
  </si>
  <si>
    <t>VIATICOS 1 PERSONA</t>
  </si>
  <si>
    <t>DIAS DE TRABAJO</t>
  </si>
  <si>
    <t>DIAS</t>
  </si>
  <si>
    <t>COSTO</t>
  </si>
  <si>
    <t>VIATICOS 2 PERSONAS</t>
  </si>
  <si>
    <t>BONO DE $1,000.00MNX POR TECNICO POR CADA $20,000.00MNX FACTURADOS CON TOPE DE 2MIL</t>
  </si>
  <si>
    <t xml:space="preserve">BONO DE $500.00MNX POR TECNICO POR CADA DIA FUERA DE LA CIUDAD </t>
  </si>
  <si>
    <t>COTIZACION FUERAS 1 PERSONA</t>
  </si>
  <si>
    <t>AJUSTE POR BONOS</t>
  </si>
  <si>
    <t>COTIZACION FUERAS 2 PERSONAS</t>
  </si>
  <si>
    <t>COTIZACION LOCAL</t>
  </si>
  <si>
    <t>DESCUENTO POR GARANTIA</t>
  </si>
  <si>
    <t>FACTURA, OC</t>
  </si>
  <si>
    <t>MONTO</t>
  </si>
  <si>
    <t>MES</t>
  </si>
  <si>
    <t>ACTIVIDAD</t>
  </si>
  <si>
    <t>BONOACT</t>
  </si>
  <si>
    <t>BONOXDIA</t>
  </si>
  <si>
    <t>BRENDA VIOLETA ESCALANTE LOPEZ</t>
  </si>
  <si>
    <t>TAMAULIPAS</t>
  </si>
  <si>
    <t>ENERO</t>
  </si>
  <si>
    <t>ZNC350Y</t>
  </si>
  <si>
    <t>AYUDANTE</t>
  </si>
  <si>
    <t>FEBRERO</t>
  </si>
  <si>
    <t>CK300/450</t>
  </si>
  <si>
    <t>PROENSI GRUPO SALGADO</t>
  </si>
  <si>
    <t>JALISCO</t>
  </si>
  <si>
    <t>LASER300WR</t>
  </si>
  <si>
    <t>GILBERTO JAZIER BRIONES</t>
  </si>
  <si>
    <t>MARZO</t>
  </si>
  <si>
    <t>XK6325</t>
  </si>
  <si>
    <t>COAHUILA</t>
  </si>
  <si>
    <t>ELLIOT ALANIS</t>
  </si>
  <si>
    <t>NUEVO LEON</t>
  </si>
  <si>
    <t>LASER1500W</t>
  </si>
  <si>
    <t>VMCXH7126</t>
  </si>
  <si>
    <t>TIJUANA</t>
  </si>
  <si>
    <t>LASER6000W</t>
  </si>
  <si>
    <t>ABRIL</t>
  </si>
  <si>
    <t>TORNO 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</si>
</sst>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F800]dddd\,\ mmmm\ dd\,\ yyyy"/>
    <numFmt numFmtId="166" formatCode="_-&quot;$&quot;* #,##0.0000_-;\-&quot;$&quot;* #,##0.0000_-;_-&quot;$&quot;* &quot;-&quot;??_-;_-@_-"/>
  </numFmts>
  <fonts count="27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CopprplGoth BT"/>
      <family val="2"/>
    </font>
    <font>
      <sz val="22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16" fillId="0" borderId="0"/>
  </cellStyleXfs>
  <cellXfs count="158">
    <xf numFmtId="0" fontId="0" fillId="0" borderId="0" xfId="0"/>
    <xf numFmtId="0" fontId="1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>
      <alignment horizontal="right"/>
    </xf>
    <xf numFmtId="165" fontId="0" fillId="0" borderId="0" xfId="0" applyNumberFormat="1"/>
    <xf numFmtId="164" fontId="0" fillId="0" borderId="0" xfId="1" applyFont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right"/>
    </xf>
    <xf numFmtId="14" fontId="0" fillId="2" borderId="0" xfId="0" applyNumberFormat="1" applyFill="1"/>
    <xf numFmtId="165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right" wrapText="1"/>
    </xf>
    <xf numFmtId="165" fontId="0" fillId="2" borderId="0" xfId="0" applyNumberFormat="1" applyFill="1" applyAlignment="1">
      <alignment wrapText="1"/>
    </xf>
    <xf numFmtId="0" fontId="0" fillId="0" borderId="0" xfId="0" applyAlignment="1">
      <alignment wrapText="1"/>
    </xf>
    <xf numFmtId="0" fontId="6" fillId="2" borderId="0" xfId="0" applyFont="1" applyFill="1"/>
    <xf numFmtId="0" fontId="5" fillId="2" borderId="0" xfId="0" applyFont="1" applyFill="1"/>
    <xf numFmtId="0" fontId="7" fillId="0" borderId="0" xfId="0" applyFont="1" applyAlignment="1">
      <alignment wrapText="1"/>
    </xf>
    <xf numFmtId="0" fontId="0" fillId="0" borderId="0" xfId="0" applyAlignment="1">
      <alignment horizontal="center"/>
    </xf>
    <xf numFmtId="164" fontId="0" fillId="0" borderId="0" xfId="1" applyFont="1" applyAlignment="1">
      <alignment horizontal="right"/>
    </xf>
    <xf numFmtId="164" fontId="0" fillId="0" borderId="0" xfId="1" applyFont="1" applyAlignment="1">
      <alignment horizontal="center"/>
    </xf>
    <xf numFmtId="164" fontId="0" fillId="0" borderId="0" xfId="1" applyFont="1" applyAlignment="1">
      <alignment vertical="center"/>
    </xf>
    <xf numFmtId="164" fontId="8" fillId="0" borderId="0" xfId="1" applyFont="1" applyAlignment="1">
      <alignment horizontal="right"/>
    </xf>
    <xf numFmtId="164" fontId="8" fillId="0" borderId="0" xfId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wrapText="1"/>
    </xf>
    <xf numFmtId="164" fontId="5" fillId="0" borderId="0" xfId="0" applyNumberFormat="1" applyFont="1" applyAlignment="1">
      <alignment horizontal="center"/>
    </xf>
    <xf numFmtId="164" fontId="10" fillId="0" borderId="0" xfId="0" applyNumberFormat="1" applyFont="1"/>
    <xf numFmtId="0" fontId="5" fillId="0" borderId="0" xfId="0" applyFont="1" applyAlignment="1">
      <alignment horizontal="center"/>
    </xf>
    <xf numFmtId="0" fontId="10" fillId="0" borderId="0" xfId="0" applyFont="1"/>
    <xf numFmtId="0" fontId="5" fillId="0" borderId="0" xfId="0" applyFont="1"/>
    <xf numFmtId="164" fontId="5" fillId="0" borderId="0" xfId="0" applyNumberFormat="1" applyFont="1"/>
    <xf numFmtId="164" fontId="10" fillId="0" borderId="0" xfId="1" applyFont="1"/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wrapText="1"/>
    </xf>
    <xf numFmtId="0" fontId="13" fillId="0" borderId="6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0" fillId="0" borderId="10" xfId="0" applyBorder="1"/>
    <xf numFmtId="165" fontId="0" fillId="0" borderId="0" xfId="1" applyNumberFormat="1" applyFont="1" applyAlignment="1">
      <alignment horizontal="right"/>
    </xf>
    <xf numFmtId="0" fontId="14" fillId="2" borderId="0" xfId="0" applyFont="1" applyFill="1" applyAlignment="1">
      <alignment horizontal="left"/>
    </xf>
    <xf numFmtId="164" fontId="14" fillId="2" borderId="0" xfId="1" applyFont="1" applyFill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0" fillId="0" borderId="0" xfId="1" applyNumberFormat="1" applyFont="1" applyAlignment="1">
      <alignment horizontal="center"/>
    </xf>
    <xf numFmtId="164" fontId="0" fillId="0" borderId="0" xfId="1" applyFont="1" applyFill="1" applyAlignment="1">
      <alignment horizontal="center"/>
    </xf>
    <xf numFmtId="0" fontId="1" fillId="2" borderId="0" xfId="0" applyFont="1" applyFill="1" applyAlignment="1" applyProtection="1">
      <alignment horizontal="left" vertical="center" wrapText="1"/>
      <protection hidden="1"/>
    </xf>
    <xf numFmtId="165" fontId="1" fillId="2" borderId="0" xfId="0" applyNumberFormat="1" applyFont="1" applyFill="1" applyAlignment="1" applyProtection="1">
      <alignment horizontal="left" vertical="center" wrapText="1"/>
      <protection hidden="1"/>
    </xf>
    <xf numFmtId="164" fontId="0" fillId="0" borderId="0" xfId="1" applyFont="1" applyAlignment="1">
      <alignment horizontal="left"/>
    </xf>
    <xf numFmtId="0" fontId="13" fillId="0" borderId="0" xfId="0" applyFont="1"/>
    <xf numFmtId="0" fontId="16" fillId="0" borderId="0" xfId="2"/>
    <xf numFmtId="0" fontId="17" fillId="0" borderId="0" xfId="2" applyFont="1"/>
    <xf numFmtId="0" fontId="16" fillId="0" borderId="11" xfId="2" applyBorder="1"/>
    <xf numFmtId="0" fontId="17" fillId="0" borderId="11" xfId="2" applyFont="1" applyBorder="1"/>
    <xf numFmtId="0" fontId="16" fillId="0" borderId="12" xfId="2" applyBorder="1"/>
    <xf numFmtId="0" fontId="16" fillId="0" borderId="13" xfId="2" applyBorder="1"/>
    <xf numFmtId="0" fontId="19" fillId="0" borderId="15" xfId="2" applyFont="1" applyBorder="1" applyAlignment="1">
      <alignment horizontal="right"/>
    </xf>
    <xf numFmtId="0" fontId="17" fillId="0" borderId="15" xfId="2" applyFont="1" applyBorder="1"/>
    <xf numFmtId="0" fontId="16" fillId="0" borderId="0" xfId="2" applyAlignment="1">
      <alignment horizontal="right"/>
    </xf>
    <xf numFmtId="0" fontId="23" fillId="0" borderId="0" xfId="2" applyFont="1" applyAlignment="1">
      <alignment horizontal="center"/>
    </xf>
    <xf numFmtId="0" fontId="18" fillId="0" borderId="11" xfId="2" applyFont="1" applyBorder="1" applyAlignment="1">
      <alignment wrapText="1"/>
    </xf>
    <xf numFmtId="165" fontId="16" fillId="0" borderId="0" xfId="2" applyNumberFormat="1"/>
    <xf numFmtId="0" fontId="16" fillId="0" borderId="15" xfId="2" applyBorder="1"/>
    <xf numFmtId="0" fontId="17" fillId="0" borderId="15" xfId="2" applyFont="1" applyBorder="1" applyAlignment="1">
      <alignment horizontal="right"/>
    </xf>
    <xf numFmtId="0" fontId="18" fillId="0" borderId="14" xfId="2" applyFont="1" applyBorder="1" applyAlignment="1">
      <alignment horizontal="right"/>
    </xf>
    <xf numFmtId="0" fontId="16" fillId="0" borderId="15" xfId="2" applyBorder="1" applyAlignment="1">
      <alignment horizontal="right"/>
    </xf>
    <xf numFmtId="0" fontId="20" fillId="0" borderId="15" xfId="2" applyFont="1" applyBorder="1" applyAlignment="1">
      <alignment horizontal="right"/>
    </xf>
    <xf numFmtId="0" fontId="18" fillId="0" borderId="15" xfId="2" applyFont="1" applyBorder="1" applyAlignment="1">
      <alignment horizontal="right"/>
    </xf>
    <xf numFmtId="165" fontId="16" fillId="0" borderId="0" xfId="2" applyNumberFormat="1" applyAlignment="1">
      <alignment horizontal="right"/>
    </xf>
    <xf numFmtId="0" fontId="16" fillId="0" borderId="14" xfId="2" applyBorder="1" applyAlignment="1">
      <alignment horizontal="right"/>
    </xf>
    <xf numFmtId="15" fontId="8" fillId="0" borderId="0" xfId="0" applyNumberFormat="1" applyFont="1"/>
    <xf numFmtId="0" fontId="8" fillId="0" borderId="0" xfId="0" applyFont="1"/>
    <xf numFmtId="164" fontId="4" fillId="0" borderId="0" xfId="1" applyFont="1"/>
    <xf numFmtId="164" fontId="7" fillId="0" borderId="0" xfId="0" applyNumberFormat="1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165" fontId="0" fillId="4" borderId="0" xfId="0" applyNumberFormat="1" applyFill="1" applyAlignment="1">
      <alignment horizontal="right"/>
    </xf>
    <xf numFmtId="0" fontId="0" fillId="4" borderId="0" xfId="0" applyFill="1" applyAlignment="1">
      <alignment horizontal="left" vertical="center" wrapText="1"/>
    </xf>
    <xf numFmtId="0" fontId="26" fillId="4" borderId="0" xfId="0" applyFont="1" applyFill="1"/>
    <xf numFmtId="0" fontId="16" fillId="0" borderId="0" xfId="2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6" fillId="0" borderId="1" xfId="2" applyBorder="1" applyAlignment="1">
      <alignment horizontal="center"/>
    </xf>
    <xf numFmtId="0" fontId="16" fillId="0" borderId="0" xfId="2" applyAlignment="1">
      <alignment horizontal="center"/>
    </xf>
    <xf numFmtId="0" fontId="18" fillId="0" borderId="0" xfId="2" applyFont="1" applyAlignment="1">
      <alignment horizontal="center"/>
    </xf>
    <xf numFmtId="0" fontId="21" fillId="0" borderId="0" xfId="2" applyFont="1" applyAlignment="1">
      <alignment horizontal="center" vertical="center" wrapText="1"/>
    </xf>
    <xf numFmtId="165" fontId="18" fillId="0" borderId="0" xfId="2" applyNumberFormat="1" applyFont="1" applyAlignment="1">
      <alignment horizontal="left" vertical="center"/>
    </xf>
    <xf numFmtId="0" fontId="18" fillId="0" borderId="11" xfId="2" applyFont="1" applyBorder="1" applyAlignment="1">
      <alignment horizontal="center"/>
    </xf>
    <xf numFmtId="0" fontId="17" fillId="0" borderId="11" xfId="2" applyFont="1" applyBorder="1" applyAlignment="1">
      <alignment horizontal="center"/>
    </xf>
    <xf numFmtId="0" fontId="18" fillId="0" borderId="1" xfId="2" applyFont="1" applyBorder="1" applyAlignment="1">
      <alignment horizontal="left" vertical="center" wrapText="1"/>
    </xf>
    <xf numFmtId="0" fontId="18" fillId="0" borderId="16" xfId="2" applyFont="1" applyBorder="1" applyAlignment="1">
      <alignment horizontal="left" vertical="center" wrapText="1"/>
    </xf>
    <xf numFmtId="0" fontId="18" fillId="0" borderId="0" xfId="2" applyFont="1" applyAlignment="1">
      <alignment horizontal="left" vertical="center" wrapText="1"/>
    </xf>
    <xf numFmtId="0" fontId="18" fillId="0" borderId="17" xfId="2" applyFont="1" applyBorder="1" applyAlignment="1">
      <alignment horizontal="left" vertical="center" wrapText="1"/>
    </xf>
    <xf numFmtId="0" fontId="18" fillId="0" borderId="11" xfId="2" applyFont="1" applyBorder="1" applyAlignment="1">
      <alignment horizontal="left" vertical="center" wrapText="1"/>
    </xf>
    <xf numFmtId="0" fontId="18" fillId="0" borderId="12" xfId="2" applyFont="1" applyBorder="1" applyAlignment="1">
      <alignment horizontal="left" vertical="center" wrapText="1"/>
    </xf>
    <xf numFmtId="0" fontId="18" fillId="0" borderId="1" xfId="2" applyFont="1" applyBorder="1" applyAlignment="1">
      <alignment horizontal="left" vertical="center"/>
    </xf>
    <xf numFmtId="0" fontId="18" fillId="0" borderId="16" xfId="2" applyFont="1" applyBorder="1" applyAlignment="1">
      <alignment horizontal="left" vertical="center"/>
    </xf>
    <xf numFmtId="0" fontId="25" fillId="0" borderId="0" xfId="2" applyFont="1" applyAlignment="1">
      <alignment horizontal="left" vertical="center"/>
    </xf>
    <xf numFmtId="0" fontId="25" fillId="0" borderId="17" xfId="2" applyFont="1" applyBorder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8" fillId="0" borderId="17" xfId="2" applyFon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/>
    </xf>
    <xf numFmtId="164" fontId="0" fillId="0" borderId="2" xfId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0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0" fillId="2" borderId="0" xfId="1" applyNumberFormat="1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3" xfId="1" applyFont="1" applyBorder="1" applyAlignment="1">
      <alignment horizontal="center"/>
    </xf>
    <xf numFmtId="164" fontId="0" fillId="0" borderId="12" xfId="1" applyFont="1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19" xfId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1" fillId="0" borderId="15" xfId="0" applyFont="1" applyBorder="1" applyAlignment="1">
      <alignment horizontal="center"/>
    </xf>
    <xf numFmtId="164" fontId="0" fillId="0" borderId="15" xfId="1" applyFont="1" applyBorder="1" applyAlignment="1">
      <alignment horizontal="center"/>
    </xf>
    <xf numFmtId="164" fontId="0" fillId="0" borderId="17" xfId="1" applyFont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8" xfId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4" xfId="1" applyFont="1" applyBorder="1" applyAlignment="1">
      <alignment horizontal="center"/>
    </xf>
    <xf numFmtId="164" fontId="0" fillId="0" borderId="16" xfId="1" applyFont="1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3">
    <cellStyle name="Moneda" xfId="1" builtinId="4"/>
    <cellStyle name="Normal" xfId="0" builtinId="0"/>
    <cellStyle name="Normal 2" xfId="2" xr:uid="{5ED5305A-F020-482E-A8F6-271E15BACB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3094990" cy="984885"/>
    <xdr:pic>
      <xdr:nvPicPr>
        <xdr:cNvPr id="4" name="Picture 11">
          <a:extLst>
            <a:ext uri="{FF2B5EF4-FFF2-40B4-BE49-F238E27FC236}">
              <a16:creationId xmlns:a16="http://schemas.microsoft.com/office/drawing/2014/main" id="{765CEA13-4F8E-4287-8D84-CB18F46E2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3094990" cy="984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0</xdr:row>
      <xdr:rowOff>50800</xdr:rowOff>
    </xdr:from>
    <xdr:ext cx="3094990" cy="984885"/>
    <xdr:pic>
      <xdr:nvPicPr>
        <xdr:cNvPr id="2" name="Picture 11">
          <a:extLst>
            <a:ext uri="{FF2B5EF4-FFF2-40B4-BE49-F238E27FC236}">
              <a16:creationId xmlns:a16="http://schemas.microsoft.com/office/drawing/2014/main" id="{2C662387-9E3C-4A8F-8965-E3DD05829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50800"/>
          <a:ext cx="3094990" cy="984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0</xdr:row>
      <xdr:rowOff>50800</xdr:rowOff>
    </xdr:from>
    <xdr:ext cx="3094990" cy="984885"/>
    <xdr:pic>
      <xdr:nvPicPr>
        <xdr:cNvPr id="2" name="Picture 11">
          <a:extLst>
            <a:ext uri="{FF2B5EF4-FFF2-40B4-BE49-F238E27FC236}">
              <a16:creationId xmlns:a16="http://schemas.microsoft.com/office/drawing/2014/main" id="{4BA8BDE4-4EE7-42B3-A16F-283952DD2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50800"/>
          <a:ext cx="3094990" cy="984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0</xdr:row>
      <xdr:rowOff>50800</xdr:rowOff>
    </xdr:from>
    <xdr:ext cx="3094990" cy="984885"/>
    <xdr:pic>
      <xdr:nvPicPr>
        <xdr:cNvPr id="2" name="Picture 11">
          <a:extLst>
            <a:ext uri="{FF2B5EF4-FFF2-40B4-BE49-F238E27FC236}">
              <a16:creationId xmlns:a16="http://schemas.microsoft.com/office/drawing/2014/main" id="{374B737E-B4A2-4F0E-B8D7-AAE59B4EF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50800"/>
          <a:ext cx="3094990" cy="984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99EF-84DD-47A5-8E6C-2E165D86158A}">
  <dimension ref="A2:H267"/>
  <sheetViews>
    <sheetView showGridLines="0" view="pageLayout" zoomScaleNormal="100" workbookViewId="0">
      <selection activeCell="B30" sqref="B30:H35"/>
    </sheetView>
  </sheetViews>
  <sheetFormatPr defaultColWidth="11.42578125" defaultRowHeight="12.6"/>
  <cols>
    <col min="1" max="1" width="17.28515625" style="56" customWidth="1"/>
    <col min="2" max="2" width="8.42578125" style="56" customWidth="1"/>
    <col min="3" max="3" width="11" style="56" customWidth="1"/>
    <col min="4" max="4" width="14" style="56" customWidth="1"/>
    <col min="5" max="5" width="12.42578125" style="56" customWidth="1"/>
    <col min="6" max="7" width="11.42578125" style="56"/>
    <col min="8" max="8" width="6.28515625" style="56" customWidth="1"/>
    <col min="9" max="16384" width="11.42578125" style="56"/>
  </cols>
  <sheetData>
    <row r="2" spans="1:8">
      <c r="E2" s="94" t="s">
        <v>0</v>
      </c>
      <c r="F2" s="94"/>
      <c r="G2" s="94"/>
      <c r="H2" s="94"/>
    </row>
    <row r="3" spans="1:8">
      <c r="E3" s="94"/>
      <c r="F3" s="94"/>
      <c r="G3" s="94"/>
      <c r="H3" s="94"/>
    </row>
    <row r="4" spans="1:8">
      <c r="E4" s="94"/>
      <c r="F4" s="94"/>
      <c r="G4" s="94"/>
      <c r="H4" s="94"/>
    </row>
    <row r="5" spans="1:8" ht="15.6">
      <c r="B5" s="57"/>
      <c r="C5" s="57"/>
      <c r="D5" s="57"/>
      <c r="E5" s="94"/>
      <c r="F5" s="94"/>
      <c r="G5" s="94"/>
      <c r="H5" s="94"/>
    </row>
    <row r="6" spans="1:8" ht="15.6">
      <c r="B6" s="57"/>
      <c r="C6" s="57"/>
      <c r="D6" s="57"/>
      <c r="E6" s="94"/>
      <c r="F6" s="94"/>
      <c r="G6" s="94"/>
      <c r="H6" s="94"/>
    </row>
    <row r="7" spans="1:8" ht="15.6">
      <c r="B7" s="57"/>
      <c r="C7" s="57"/>
      <c r="D7" s="57"/>
      <c r="E7" s="57"/>
      <c r="F7" s="57"/>
    </row>
    <row r="8" spans="1:8" ht="23.1">
      <c r="A8" s="90" t="s">
        <v>1</v>
      </c>
      <c r="B8" s="90"/>
      <c r="C8" s="90"/>
      <c r="D8" s="90"/>
      <c r="E8" s="90"/>
      <c r="F8" s="90"/>
      <c r="G8" s="90"/>
      <c r="H8" s="90"/>
    </row>
    <row r="9" spans="1:8" ht="19.5" customHeight="1">
      <c r="A9" s="65"/>
      <c r="B9" s="64"/>
      <c r="C9" s="67"/>
      <c r="D9" s="67"/>
      <c r="E9" s="74" t="s">
        <v>2</v>
      </c>
      <c r="F9" s="95"/>
      <c r="G9" s="95"/>
      <c r="H9" s="95"/>
    </row>
    <row r="10" spans="1:8" ht="19.5" customHeight="1">
      <c r="D10" s="64"/>
      <c r="E10" s="64"/>
      <c r="F10" s="64"/>
    </row>
    <row r="11" spans="1:8" ht="19.5" customHeight="1"/>
    <row r="12" spans="1:8" ht="19.5" customHeight="1">
      <c r="A12" s="75" t="s">
        <v>3</v>
      </c>
      <c r="B12" s="104" t="s">
        <v>4</v>
      </c>
      <c r="C12" s="104"/>
      <c r="D12" s="104"/>
      <c r="E12" s="104"/>
      <c r="F12" s="104"/>
      <c r="G12" s="104"/>
      <c r="H12" s="105"/>
    </row>
    <row r="13" spans="1:8">
      <c r="A13" s="71" t="s">
        <v>5</v>
      </c>
      <c r="B13" s="100"/>
      <c r="C13" s="100"/>
      <c r="D13" s="100"/>
      <c r="E13" s="64" t="s">
        <v>6</v>
      </c>
      <c r="F13" s="106"/>
      <c r="G13" s="106"/>
      <c r="H13" s="107"/>
    </row>
    <row r="14" spans="1:8" ht="19.5" customHeight="1">
      <c r="A14" s="61"/>
      <c r="B14" s="66"/>
      <c r="C14" s="66"/>
      <c r="D14" s="66"/>
      <c r="E14" s="58"/>
      <c r="F14" s="59"/>
      <c r="G14" s="58"/>
      <c r="H14" s="60"/>
    </row>
    <row r="15" spans="1:8" ht="19.5" customHeight="1">
      <c r="A15" s="57"/>
      <c r="B15" s="57"/>
      <c r="C15" s="57"/>
      <c r="D15" s="57"/>
      <c r="E15" s="57"/>
      <c r="F15" s="57"/>
    </row>
    <row r="16" spans="1:8" ht="19.5" customHeight="1">
      <c r="A16" s="75" t="s">
        <v>7</v>
      </c>
      <c r="B16" s="104" t="s">
        <v>8</v>
      </c>
      <c r="C16" s="104"/>
      <c r="D16" s="104"/>
      <c r="E16" s="104"/>
      <c r="F16" s="104"/>
      <c r="G16" s="104"/>
      <c r="H16" s="105"/>
    </row>
    <row r="17" spans="1:8">
      <c r="A17" s="71" t="s">
        <v>9</v>
      </c>
      <c r="B17" s="108"/>
      <c r="C17" s="108"/>
      <c r="D17" s="108"/>
      <c r="E17" s="64" t="s">
        <v>10</v>
      </c>
      <c r="F17" s="108"/>
      <c r="G17" s="108"/>
      <c r="H17" s="109"/>
    </row>
    <row r="18" spans="1:8" ht="19.5" customHeight="1">
      <c r="A18" s="61"/>
      <c r="B18" s="58"/>
      <c r="C18" s="58"/>
      <c r="D18" s="58"/>
      <c r="E18" s="58"/>
      <c r="F18" s="58"/>
      <c r="G18" s="58"/>
      <c r="H18" s="60"/>
    </row>
    <row r="19" spans="1:8" ht="19.5" customHeight="1">
      <c r="A19" s="57"/>
      <c r="B19" s="57"/>
      <c r="C19" s="57"/>
      <c r="D19" s="57"/>
      <c r="E19" s="57"/>
      <c r="F19" s="57"/>
    </row>
    <row r="20" spans="1:8" ht="19.5" customHeight="1">
      <c r="A20" s="70" t="s">
        <v>11</v>
      </c>
      <c r="B20" s="98" t="s">
        <v>12</v>
      </c>
      <c r="C20" s="98"/>
      <c r="D20" s="98"/>
      <c r="E20" s="98"/>
      <c r="F20" s="98"/>
      <c r="G20" s="98"/>
      <c r="H20" s="99"/>
    </row>
    <row r="21" spans="1:8" ht="19.5" customHeight="1">
      <c r="A21" s="62"/>
      <c r="B21" s="100"/>
      <c r="C21" s="100"/>
      <c r="D21" s="100"/>
      <c r="E21" s="100"/>
      <c r="F21" s="100"/>
      <c r="G21" s="100"/>
      <c r="H21" s="101"/>
    </row>
    <row r="22" spans="1:8" ht="19.5" customHeight="1">
      <c r="A22" s="71"/>
      <c r="B22" s="100"/>
      <c r="C22" s="100"/>
      <c r="D22" s="100"/>
      <c r="E22" s="100"/>
      <c r="F22" s="100"/>
      <c r="G22" s="100"/>
      <c r="H22" s="101"/>
    </row>
    <row r="23" spans="1:8" ht="19.5" customHeight="1">
      <c r="A23" s="72"/>
      <c r="B23" s="100"/>
      <c r="C23" s="100"/>
      <c r="D23" s="100"/>
      <c r="E23" s="100"/>
      <c r="F23" s="100"/>
      <c r="G23" s="100"/>
      <c r="H23" s="101"/>
    </row>
    <row r="24" spans="1:8" ht="19.5" customHeight="1">
      <c r="A24" s="71"/>
      <c r="B24" s="100"/>
      <c r="C24" s="100"/>
      <c r="D24" s="100"/>
      <c r="E24" s="100"/>
      <c r="F24" s="100"/>
      <c r="G24" s="100"/>
      <c r="H24" s="101"/>
    </row>
    <row r="25" spans="1:8" ht="19.5" customHeight="1">
      <c r="A25" s="73" t="s">
        <v>13</v>
      </c>
      <c r="B25" s="100" t="s">
        <v>14</v>
      </c>
      <c r="C25" s="100"/>
      <c r="D25" s="100"/>
      <c r="E25" s="100"/>
      <c r="F25" s="100"/>
      <c r="G25" s="100"/>
      <c r="H25" s="101"/>
    </row>
    <row r="26" spans="1:8" ht="19.5" customHeight="1">
      <c r="A26" s="62"/>
      <c r="B26" s="100"/>
      <c r="C26" s="100"/>
      <c r="D26" s="100"/>
      <c r="E26" s="100"/>
      <c r="F26" s="100"/>
      <c r="G26" s="100"/>
      <c r="H26" s="101"/>
    </row>
    <row r="27" spans="1:8" ht="19.5" customHeight="1">
      <c r="A27" s="69"/>
      <c r="B27" s="100"/>
      <c r="C27" s="100"/>
      <c r="D27" s="100"/>
      <c r="E27" s="100"/>
      <c r="F27" s="100"/>
      <c r="G27" s="100"/>
      <c r="H27" s="101"/>
    </row>
    <row r="28" spans="1:8" ht="19.5" customHeight="1">
      <c r="A28" s="69"/>
      <c r="B28" s="100"/>
      <c r="C28" s="100"/>
      <c r="D28" s="100"/>
      <c r="E28" s="100"/>
      <c r="F28" s="100"/>
      <c r="G28" s="100"/>
      <c r="H28" s="101"/>
    </row>
    <row r="29" spans="1:8" ht="19.5" customHeight="1">
      <c r="A29" s="69"/>
      <c r="B29" s="100"/>
      <c r="C29" s="100"/>
      <c r="D29" s="100"/>
      <c r="E29" s="100"/>
      <c r="F29" s="100"/>
      <c r="G29" s="100"/>
      <c r="H29" s="101"/>
    </row>
    <row r="30" spans="1:8" ht="19.5" customHeight="1">
      <c r="A30" s="73" t="s">
        <v>15</v>
      </c>
      <c r="B30" s="100"/>
      <c r="C30" s="100"/>
      <c r="D30" s="100"/>
      <c r="E30" s="100"/>
      <c r="F30" s="100"/>
      <c r="G30" s="100"/>
      <c r="H30" s="101"/>
    </row>
    <row r="31" spans="1:8" ht="19.5" customHeight="1">
      <c r="A31" s="71"/>
      <c r="B31" s="100"/>
      <c r="C31" s="100"/>
      <c r="D31" s="100"/>
      <c r="E31" s="100"/>
      <c r="F31" s="100"/>
      <c r="G31" s="100"/>
      <c r="H31" s="101"/>
    </row>
    <row r="32" spans="1:8" ht="19.5" customHeight="1">
      <c r="A32" s="68"/>
      <c r="B32" s="100"/>
      <c r="C32" s="100"/>
      <c r="D32" s="100"/>
      <c r="E32" s="100"/>
      <c r="F32" s="100"/>
      <c r="G32" s="100"/>
      <c r="H32" s="101"/>
    </row>
    <row r="33" spans="1:8" ht="19.5" customHeight="1">
      <c r="A33" s="68"/>
      <c r="B33" s="100"/>
      <c r="C33" s="100"/>
      <c r="D33" s="100"/>
      <c r="E33" s="100"/>
      <c r="F33" s="100"/>
      <c r="G33" s="100"/>
      <c r="H33" s="101"/>
    </row>
    <row r="34" spans="1:8" ht="19.5" customHeight="1">
      <c r="A34" s="63"/>
      <c r="B34" s="100"/>
      <c r="C34" s="100"/>
      <c r="D34" s="100"/>
      <c r="E34" s="100"/>
      <c r="F34" s="100"/>
      <c r="G34" s="100"/>
      <c r="H34" s="101"/>
    </row>
    <row r="35" spans="1:8" ht="19.5" customHeight="1">
      <c r="A35" s="61"/>
      <c r="B35" s="102"/>
      <c r="C35" s="102"/>
      <c r="D35" s="102"/>
      <c r="E35" s="102"/>
      <c r="F35" s="102"/>
      <c r="G35" s="102"/>
      <c r="H35" s="103"/>
    </row>
    <row r="36" spans="1:8" ht="15.6">
      <c r="A36" s="57"/>
      <c r="B36" s="57"/>
      <c r="C36" s="57"/>
      <c r="D36" s="57"/>
      <c r="E36" s="57"/>
      <c r="F36" s="57"/>
      <c r="G36" s="57"/>
      <c r="H36" s="57"/>
    </row>
    <row r="37" spans="1:8" ht="15" customHeight="1">
      <c r="A37" s="92" t="s">
        <v>16</v>
      </c>
      <c r="B37" s="92"/>
      <c r="C37" s="92"/>
      <c r="D37" s="57"/>
      <c r="E37" s="57"/>
      <c r="F37" s="57"/>
    </row>
    <row r="38" spans="1:8" ht="15" customHeight="1">
      <c r="A38" s="86"/>
      <c r="B38" s="86"/>
      <c r="C38" s="86"/>
      <c r="D38" s="57"/>
      <c r="E38" s="57"/>
      <c r="F38" s="57"/>
    </row>
    <row r="39" spans="1:8" ht="15.6">
      <c r="A39" s="97"/>
      <c r="B39" s="97"/>
      <c r="C39" s="97"/>
      <c r="D39" s="57"/>
      <c r="E39" s="96" t="s">
        <v>17</v>
      </c>
      <c r="F39" s="97"/>
      <c r="G39" s="97"/>
    </row>
    <row r="40" spans="1:8" ht="15.75" customHeight="1">
      <c r="A40" s="91" t="s">
        <v>18</v>
      </c>
      <c r="B40" s="91"/>
      <c r="C40" s="91"/>
      <c r="E40" s="91" t="s">
        <v>19</v>
      </c>
      <c r="F40" s="91"/>
      <c r="G40" s="91"/>
    </row>
    <row r="41" spans="1:8" ht="15" customHeight="1">
      <c r="E41" s="93" t="s">
        <v>20</v>
      </c>
      <c r="F41" s="93"/>
      <c r="G41" s="93"/>
    </row>
    <row r="42" spans="1:8" ht="14.25" customHeight="1">
      <c r="A42" s="57"/>
      <c r="B42" s="57"/>
      <c r="C42" s="57"/>
    </row>
    <row r="43" spans="1:8" ht="14.25" customHeight="1">
      <c r="A43" s="57"/>
      <c r="B43" s="57"/>
      <c r="C43" s="57"/>
      <c r="D43" s="57"/>
      <c r="E43" s="57"/>
      <c r="F43" s="57"/>
    </row>
    <row r="44" spans="1:8" ht="14.25" customHeight="1">
      <c r="A44" s="57"/>
      <c r="B44" s="57"/>
      <c r="C44" s="57"/>
      <c r="D44" s="57"/>
      <c r="E44" s="57"/>
      <c r="F44" s="57"/>
    </row>
    <row r="45" spans="1:8" ht="15.6">
      <c r="A45" s="57"/>
      <c r="B45" s="57"/>
      <c r="C45" s="57"/>
      <c r="D45" s="57"/>
      <c r="E45" s="57"/>
      <c r="F45" s="57"/>
    </row>
    <row r="46" spans="1:8" ht="15.6">
      <c r="A46" s="57"/>
      <c r="B46" s="57"/>
      <c r="C46" s="57"/>
      <c r="D46" s="57"/>
      <c r="E46" s="57"/>
      <c r="F46" s="57"/>
    </row>
    <row r="47" spans="1:8" ht="15.6">
      <c r="A47" s="57"/>
      <c r="B47" s="57"/>
      <c r="C47" s="57"/>
      <c r="D47" s="57"/>
      <c r="E47" s="57"/>
      <c r="F47" s="57"/>
    </row>
    <row r="48" spans="1:8" ht="15.6">
      <c r="A48" s="57"/>
      <c r="B48" s="57"/>
      <c r="C48" s="57"/>
      <c r="D48" s="57"/>
      <c r="E48" s="57"/>
      <c r="F48" s="57"/>
    </row>
    <row r="49" spans="1:6" ht="15.6">
      <c r="A49" s="57"/>
      <c r="B49" s="57"/>
      <c r="C49" s="57"/>
      <c r="D49" s="57"/>
      <c r="E49" s="57"/>
      <c r="F49" s="57"/>
    </row>
    <row r="50" spans="1:6" ht="15.6">
      <c r="A50" s="57"/>
      <c r="B50" s="57"/>
      <c r="C50" s="57"/>
      <c r="D50" s="57"/>
      <c r="E50" s="57"/>
      <c r="F50" s="57"/>
    </row>
    <row r="51" spans="1:6" ht="15.6">
      <c r="A51" s="57"/>
      <c r="B51" s="57"/>
      <c r="C51" s="57"/>
      <c r="D51" s="57"/>
      <c r="E51" s="57"/>
      <c r="F51" s="57"/>
    </row>
    <row r="52" spans="1:6" ht="15.6">
      <c r="A52" s="57"/>
      <c r="B52" s="57"/>
      <c r="C52" s="57"/>
      <c r="D52" s="57"/>
      <c r="E52" s="57"/>
      <c r="F52" s="57"/>
    </row>
    <row r="53" spans="1:6" ht="15.6">
      <c r="A53" s="57"/>
      <c r="B53" s="57"/>
      <c r="C53" s="57"/>
      <c r="D53" s="57"/>
      <c r="E53" s="57"/>
      <c r="F53" s="57"/>
    </row>
    <row r="54" spans="1:6" ht="15.6">
      <c r="A54" s="57"/>
      <c r="B54" s="57"/>
      <c r="C54" s="57"/>
      <c r="D54" s="57"/>
      <c r="E54" s="57"/>
      <c r="F54" s="57"/>
    </row>
    <row r="55" spans="1:6" ht="15.6">
      <c r="A55" s="57"/>
      <c r="B55" s="57"/>
      <c r="C55" s="57"/>
      <c r="D55" s="57"/>
      <c r="E55" s="57"/>
      <c r="F55" s="57"/>
    </row>
    <row r="56" spans="1:6" ht="15.6">
      <c r="A56" s="57"/>
      <c r="B56" s="57"/>
      <c r="C56" s="57"/>
      <c r="D56" s="57"/>
      <c r="E56" s="57"/>
      <c r="F56" s="57"/>
    </row>
    <row r="57" spans="1:6" ht="15.6">
      <c r="A57" s="57"/>
      <c r="B57" s="57"/>
      <c r="C57" s="57"/>
      <c r="D57" s="57"/>
      <c r="E57" s="57"/>
      <c r="F57" s="57"/>
    </row>
    <row r="58" spans="1:6" ht="15.6">
      <c r="A58" s="57"/>
      <c r="B58" s="57"/>
      <c r="C58" s="57"/>
      <c r="D58" s="57"/>
      <c r="E58" s="57"/>
      <c r="F58" s="57"/>
    </row>
    <row r="59" spans="1:6" ht="15.6">
      <c r="A59" s="57"/>
      <c r="B59" s="57"/>
      <c r="C59" s="57"/>
      <c r="D59" s="57"/>
      <c r="E59" s="57"/>
      <c r="F59" s="57"/>
    </row>
    <row r="60" spans="1:6" ht="15.6">
      <c r="A60" s="57"/>
      <c r="B60" s="57"/>
      <c r="C60" s="57"/>
      <c r="D60" s="57"/>
      <c r="E60" s="57"/>
      <c r="F60" s="57"/>
    </row>
    <row r="61" spans="1:6" ht="15.6">
      <c r="A61" s="57"/>
      <c r="B61" s="57"/>
      <c r="C61" s="57"/>
      <c r="D61" s="57"/>
      <c r="E61" s="57"/>
      <c r="F61" s="57"/>
    </row>
    <row r="62" spans="1:6" ht="15.6">
      <c r="A62" s="57"/>
      <c r="B62" s="57"/>
      <c r="C62" s="57"/>
      <c r="D62" s="57"/>
      <c r="E62" s="57"/>
      <c r="F62" s="57"/>
    </row>
    <row r="63" spans="1:6" ht="15.6">
      <c r="A63" s="57"/>
      <c r="B63" s="57"/>
      <c r="C63" s="57"/>
      <c r="D63" s="57"/>
      <c r="E63" s="57"/>
      <c r="F63" s="57"/>
    </row>
    <row r="64" spans="1:6" ht="15.6">
      <c r="A64" s="57"/>
      <c r="B64" s="57"/>
      <c r="C64" s="57"/>
      <c r="D64" s="57"/>
      <c r="E64" s="57"/>
      <c r="F64" s="57"/>
    </row>
    <row r="65" spans="1:6" ht="15.6">
      <c r="A65" s="57"/>
      <c r="B65" s="57"/>
      <c r="C65" s="57"/>
      <c r="D65" s="57"/>
      <c r="E65" s="57"/>
      <c r="F65" s="57"/>
    </row>
    <row r="66" spans="1:6" ht="15.6">
      <c r="A66" s="57"/>
      <c r="B66" s="57"/>
      <c r="C66" s="57"/>
      <c r="D66" s="57"/>
      <c r="E66" s="57"/>
      <c r="F66" s="57"/>
    </row>
    <row r="67" spans="1:6" ht="15.6">
      <c r="A67" s="57"/>
      <c r="B67" s="57"/>
      <c r="C67" s="57"/>
      <c r="D67" s="57"/>
      <c r="E67" s="57"/>
      <c r="F67" s="57"/>
    </row>
    <row r="68" spans="1:6" ht="15.6">
      <c r="A68" s="57"/>
      <c r="B68" s="57"/>
      <c r="C68" s="57"/>
      <c r="D68" s="57"/>
      <c r="E68" s="57"/>
      <c r="F68" s="57"/>
    </row>
    <row r="69" spans="1:6" ht="15.6">
      <c r="A69" s="57"/>
      <c r="B69" s="57"/>
      <c r="C69" s="57"/>
      <c r="D69" s="57"/>
      <c r="E69" s="57"/>
      <c r="F69" s="57"/>
    </row>
    <row r="70" spans="1:6" ht="15.6">
      <c r="A70" s="57"/>
      <c r="B70" s="57"/>
      <c r="C70" s="57"/>
      <c r="D70" s="57"/>
      <c r="E70" s="57"/>
      <c r="F70" s="57"/>
    </row>
    <row r="71" spans="1:6" ht="15.6">
      <c r="A71" s="57"/>
      <c r="B71" s="57"/>
      <c r="C71" s="57"/>
      <c r="D71" s="57"/>
      <c r="E71" s="57"/>
      <c r="F71" s="57"/>
    </row>
    <row r="72" spans="1:6" ht="15.6">
      <c r="A72" s="57"/>
      <c r="B72" s="57"/>
      <c r="C72" s="57"/>
      <c r="D72" s="57"/>
      <c r="E72" s="57"/>
      <c r="F72" s="57"/>
    </row>
    <row r="73" spans="1:6" ht="15.6">
      <c r="A73" s="57"/>
      <c r="B73" s="57"/>
      <c r="C73" s="57"/>
      <c r="D73" s="57"/>
      <c r="E73" s="57"/>
      <c r="F73" s="57"/>
    </row>
    <row r="74" spans="1:6" ht="15.6">
      <c r="A74" s="57"/>
      <c r="B74" s="57"/>
      <c r="C74" s="57"/>
      <c r="D74" s="57"/>
      <c r="E74" s="57"/>
      <c r="F74" s="57"/>
    </row>
    <row r="75" spans="1:6" ht="15.6">
      <c r="A75" s="57"/>
      <c r="B75" s="57"/>
      <c r="C75" s="57"/>
      <c r="D75" s="57"/>
      <c r="E75" s="57"/>
      <c r="F75" s="57"/>
    </row>
    <row r="76" spans="1:6" ht="15.6">
      <c r="A76" s="57"/>
      <c r="B76" s="57"/>
      <c r="C76" s="57"/>
      <c r="D76" s="57"/>
      <c r="E76" s="57"/>
      <c r="F76" s="57"/>
    </row>
    <row r="77" spans="1:6" ht="15.6">
      <c r="A77" s="57"/>
      <c r="B77" s="57"/>
      <c r="C77" s="57"/>
      <c r="D77" s="57"/>
      <c r="E77" s="57"/>
      <c r="F77" s="57"/>
    </row>
    <row r="78" spans="1:6" ht="15.6">
      <c r="A78" s="57"/>
      <c r="B78" s="57"/>
      <c r="C78" s="57"/>
      <c r="D78" s="57"/>
      <c r="E78" s="57"/>
      <c r="F78" s="57"/>
    </row>
    <row r="79" spans="1:6" ht="15.6">
      <c r="A79" s="57"/>
      <c r="B79" s="57"/>
      <c r="C79" s="57"/>
      <c r="D79" s="57"/>
      <c r="E79" s="57"/>
      <c r="F79" s="57"/>
    </row>
    <row r="80" spans="1:6" ht="15.6">
      <c r="A80" s="57"/>
      <c r="B80" s="57"/>
      <c r="C80" s="57"/>
      <c r="D80" s="57"/>
      <c r="E80" s="57"/>
      <c r="F80" s="57"/>
    </row>
    <row r="81" spans="1:6" ht="15.6">
      <c r="A81" s="57"/>
      <c r="B81" s="57"/>
      <c r="C81" s="57"/>
      <c r="D81" s="57"/>
      <c r="E81" s="57"/>
      <c r="F81" s="57"/>
    </row>
    <row r="82" spans="1:6" ht="15.6">
      <c r="A82" s="57"/>
      <c r="B82" s="57"/>
      <c r="C82" s="57"/>
      <c r="D82" s="57"/>
      <c r="E82" s="57"/>
      <c r="F82" s="57"/>
    </row>
    <row r="83" spans="1:6" ht="15.6">
      <c r="A83" s="57"/>
      <c r="B83" s="57"/>
      <c r="C83" s="57"/>
      <c r="D83" s="57"/>
      <c r="E83" s="57"/>
      <c r="F83" s="57"/>
    </row>
    <row r="84" spans="1:6" ht="15.6">
      <c r="A84" s="57"/>
      <c r="B84" s="57"/>
      <c r="C84" s="57"/>
      <c r="D84" s="57"/>
      <c r="E84" s="57"/>
      <c r="F84" s="57"/>
    </row>
    <row r="85" spans="1:6" ht="15.6">
      <c r="A85" s="57"/>
      <c r="B85" s="57"/>
      <c r="C85" s="57"/>
      <c r="D85" s="57"/>
      <c r="E85" s="57"/>
      <c r="F85" s="57"/>
    </row>
    <row r="86" spans="1:6" ht="15.6">
      <c r="A86" s="57"/>
      <c r="B86" s="57"/>
      <c r="C86" s="57"/>
      <c r="D86" s="57"/>
      <c r="E86" s="57"/>
      <c r="F86" s="57"/>
    </row>
    <row r="87" spans="1:6" ht="15.6">
      <c r="A87" s="57"/>
      <c r="B87" s="57"/>
      <c r="C87" s="57"/>
      <c r="D87" s="57"/>
      <c r="E87" s="57"/>
      <c r="F87" s="57"/>
    </row>
    <row r="88" spans="1:6" ht="15.6">
      <c r="A88" s="57"/>
      <c r="B88" s="57"/>
      <c r="C88" s="57"/>
      <c r="D88" s="57"/>
      <c r="E88" s="57"/>
      <c r="F88" s="57"/>
    </row>
    <row r="89" spans="1:6" ht="15.6">
      <c r="A89" s="57"/>
      <c r="B89" s="57"/>
      <c r="C89" s="57"/>
      <c r="D89" s="57"/>
      <c r="E89" s="57"/>
      <c r="F89" s="57"/>
    </row>
    <row r="90" spans="1:6" ht="15.6">
      <c r="A90" s="57"/>
      <c r="B90" s="57"/>
      <c r="C90" s="57"/>
      <c r="D90" s="57"/>
      <c r="E90" s="57"/>
      <c r="F90" s="57"/>
    </row>
    <row r="91" spans="1:6" ht="15.6">
      <c r="A91" s="57"/>
      <c r="B91" s="57"/>
      <c r="C91" s="57"/>
      <c r="D91" s="57"/>
      <c r="E91" s="57"/>
      <c r="F91" s="57"/>
    </row>
    <row r="92" spans="1:6" ht="15.6">
      <c r="A92" s="57"/>
      <c r="B92" s="57"/>
      <c r="C92" s="57"/>
      <c r="D92" s="57"/>
      <c r="E92" s="57"/>
      <c r="F92" s="57"/>
    </row>
    <row r="93" spans="1:6" ht="15.6">
      <c r="A93" s="57"/>
      <c r="B93" s="57"/>
      <c r="C93" s="57"/>
      <c r="D93" s="57"/>
      <c r="E93" s="57"/>
      <c r="F93" s="57"/>
    </row>
    <row r="94" spans="1:6" ht="15.6">
      <c r="A94" s="57"/>
      <c r="B94" s="57"/>
      <c r="C94" s="57"/>
      <c r="D94" s="57"/>
      <c r="E94" s="57"/>
      <c r="F94" s="57"/>
    </row>
    <row r="95" spans="1:6" ht="15.6">
      <c r="A95" s="57"/>
      <c r="B95" s="57"/>
      <c r="C95" s="57"/>
      <c r="D95" s="57"/>
      <c r="E95" s="57"/>
      <c r="F95" s="57"/>
    </row>
    <row r="96" spans="1:6" ht="15.6">
      <c r="A96" s="57"/>
      <c r="B96" s="57"/>
      <c r="C96" s="57"/>
      <c r="D96" s="57"/>
      <c r="E96" s="57"/>
      <c r="F96" s="57"/>
    </row>
    <row r="97" spans="1:6" ht="15.6">
      <c r="A97" s="57"/>
      <c r="B97" s="57"/>
      <c r="C97" s="57"/>
      <c r="D97" s="57"/>
      <c r="E97" s="57"/>
      <c r="F97" s="57"/>
    </row>
    <row r="98" spans="1:6" ht="15.6">
      <c r="A98" s="57"/>
      <c r="B98" s="57"/>
      <c r="C98" s="57"/>
      <c r="D98" s="57"/>
      <c r="E98" s="57"/>
      <c r="F98" s="57"/>
    </row>
    <row r="99" spans="1:6" ht="15.6">
      <c r="A99" s="57"/>
      <c r="B99" s="57"/>
      <c r="C99" s="57"/>
      <c r="D99" s="57"/>
      <c r="E99" s="57"/>
      <c r="F99" s="57"/>
    </row>
    <row r="100" spans="1:6" ht="15.6">
      <c r="A100" s="57"/>
      <c r="B100" s="57"/>
      <c r="C100" s="57"/>
      <c r="D100" s="57"/>
      <c r="E100" s="57"/>
      <c r="F100" s="57"/>
    </row>
    <row r="101" spans="1:6" ht="15.6">
      <c r="A101" s="57"/>
      <c r="B101" s="57"/>
      <c r="C101" s="57"/>
      <c r="D101" s="57"/>
      <c r="E101" s="57"/>
      <c r="F101" s="57"/>
    </row>
    <row r="102" spans="1:6" ht="15.6">
      <c r="A102" s="57"/>
      <c r="B102" s="57"/>
      <c r="C102" s="57"/>
      <c r="D102" s="57"/>
      <c r="E102" s="57"/>
      <c r="F102" s="57"/>
    </row>
    <row r="103" spans="1:6" ht="15.6">
      <c r="A103" s="57"/>
      <c r="B103" s="57"/>
      <c r="C103" s="57"/>
      <c r="D103" s="57"/>
      <c r="E103" s="57"/>
      <c r="F103" s="57"/>
    </row>
    <row r="104" spans="1:6" ht="15.6">
      <c r="A104" s="57"/>
      <c r="B104" s="57"/>
      <c r="C104" s="57"/>
      <c r="D104" s="57"/>
      <c r="E104" s="57"/>
      <c r="F104" s="57"/>
    </row>
    <row r="105" spans="1:6" ht="15.6">
      <c r="A105" s="57"/>
      <c r="B105" s="57"/>
      <c r="C105" s="57"/>
      <c r="D105" s="57"/>
      <c r="E105" s="57"/>
      <c r="F105" s="57"/>
    </row>
    <row r="106" spans="1:6" ht="15.6">
      <c r="A106" s="57"/>
      <c r="B106" s="57"/>
      <c r="C106" s="57"/>
      <c r="D106" s="57"/>
      <c r="E106" s="57"/>
      <c r="F106" s="57"/>
    </row>
    <row r="107" spans="1:6" ht="15.6">
      <c r="A107" s="57"/>
      <c r="B107" s="57"/>
      <c r="C107" s="57"/>
      <c r="D107" s="57"/>
      <c r="E107" s="57"/>
      <c r="F107" s="57"/>
    </row>
    <row r="108" spans="1:6" ht="15.6">
      <c r="A108" s="57"/>
      <c r="B108" s="57"/>
      <c r="C108" s="57"/>
      <c r="D108" s="57"/>
      <c r="E108" s="57"/>
      <c r="F108" s="57"/>
    </row>
    <row r="109" spans="1:6" ht="15.6">
      <c r="A109" s="57"/>
      <c r="B109" s="57"/>
      <c r="C109" s="57"/>
      <c r="D109" s="57"/>
      <c r="E109" s="57"/>
      <c r="F109" s="57"/>
    </row>
    <row r="110" spans="1:6" ht="15.6">
      <c r="A110" s="57"/>
      <c r="B110" s="57"/>
      <c r="C110" s="57"/>
      <c r="D110" s="57"/>
      <c r="E110" s="57"/>
      <c r="F110" s="57"/>
    </row>
    <row r="111" spans="1:6" ht="15.6">
      <c r="A111" s="57"/>
      <c r="B111" s="57"/>
      <c r="C111" s="57"/>
      <c r="D111" s="57"/>
      <c r="E111" s="57"/>
      <c r="F111" s="57"/>
    </row>
    <row r="112" spans="1:6" ht="15.6">
      <c r="A112" s="57"/>
      <c r="B112" s="57"/>
      <c r="C112" s="57"/>
      <c r="D112" s="57"/>
      <c r="E112" s="57"/>
      <c r="F112" s="57"/>
    </row>
    <row r="113" spans="1:6" ht="15.6">
      <c r="A113" s="57"/>
      <c r="B113" s="57"/>
      <c r="C113" s="57"/>
      <c r="D113" s="57"/>
      <c r="E113" s="57"/>
      <c r="F113" s="57"/>
    </row>
    <row r="114" spans="1:6" ht="15.6">
      <c r="A114" s="57"/>
      <c r="B114" s="57"/>
      <c r="C114" s="57"/>
      <c r="D114" s="57"/>
      <c r="E114" s="57"/>
      <c r="F114" s="57"/>
    </row>
    <row r="115" spans="1:6" ht="15.6">
      <c r="A115" s="57"/>
      <c r="B115" s="57"/>
      <c r="C115" s="57"/>
      <c r="D115" s="57"/>
      <c r="E115" s="57"/>
      <c r="F115" s="57"/>
    </row>
    <row r="116" spans="1:6" ht="15.6">
      <c r="A116" s="57"/>
      <c r="B116" s="57"/>
      <c r="C116" s="57"/>
      <c r="D116" s="57"/>
      <c r="E116" s="57"/>
      <c r="F116" s="57"/>
    </row>
    <row r="117" spans="1:6" ht="15.6">
      <c r="A117" s="57"/>
      <c r="B117" s="57"/>
      <c r="C117" s="57"/>
      <c r="D117" s="57"/>
      <c r="E117" s="57"/>
      <c r="F117" s="57"/>
    </row>
    <row r="118" spans="1:6" ht="15.6">
      <c r="A118" s="57"/>
      <c r="B118" s="57"/>
      <c r="C118" s="57"/>
      <c r="D118" s="57"/>
      <c r="E118" s="57"/>
      <c r="F118" s="57"/>
    </row>
    <row r="119" spans="1:6" ht="15.6">
      <c r="A119" s="57"/>
      <c r="B119" s="57"/>
      <c r="C119" s="57"/>
      <c r="D119" s="57"/>
      <c r="E119" s="57"/>
      <c r="F119" s="57"/>
    </row>
    <row r="120" spans="1:6" ht="15.6">
      <c r="A120" s="57"/>
      <c r="B120" s="57"/>
      <c r="C120" s="57"/>
      <c r="D120" s="57"/>
      <c r="E120" s="57"/>
      <c r="F120" s="57"/>
    </row>
    <row r="121" spans="1:6" ht="15.6">
      <c r="A121" s="57"/>
      <c r="B121" s="57"/>
      <c r="C121" s="57"/>
      <c r="D121" s="57"/>
      <c r="E121" s="57"/>
      <c r="F121" s="57"/>
    </row>
    <row r="122" spans="1:6" ht="15.6">
      <c r="A122" s="57"/>
      <c r="B122" s="57"/>
      <c r="C122" s="57"/>
      <c r="D122" s="57"/>
      <c r="E122" s="57"/>
      <c r="F122" s="57"/>
    </row>
    <row r="123" spans="1:6" ht="15.6">
      <c r="A123" s="57"/>
      <c r="B123" s="57"/>
      <c r="C123" s="57"/>
      <c r="D123" s="57"/>
      <c r="E123" s="57"/>
      <c r="F123" s="57"/>
    </row>
    <row r="124" spans="1:6" ht="15.6">
      <c r="A124" s="57"/>
      <c r="B124" s="57"/>
      <c r="C124" s="57"/>
      <c r="D124" s="57"/>
      <c r="E124" s="57"/>
      <c r="F124" s="57"/>
    </row>
    <row r="125" spans="1:6" ht="15.6">
      <c r="A125" s="57"/>
      <c r="B125" s="57"/>
      <c r="C125" s="57"/>
      <c r="D125" s="57"/>
      <c r="E125" s="57"/>
      <c r="F125" s="57"/>
    </row>
    <row r="126" spans="1:6" ht="15.6">
      <c r="A126" s="57"/>
      <c r="B126" s="57"/>
      <c r="C126" s="57"/>
      <c r="D126" s="57"/>
      <c r="E126" s="57"/>
      <c r="F126" s="57"/>
    </row>
    <row r="127" spans="1:6" ht="15.6">
      <c r="A127" s="57"/>
      <c r="B127" s="57"/>
      <c r="C127" s="57"/>
      <c r="D127" s="57"/>
      <c r="E127" s="57"/>
      <c r="F127" s="57"/>
    </row>
    <row r="128" spans="1:6" ht="15.6">
      <c r="A128" s="57"/>
      <c r="B128" s="57"/>
      <c r="C128" s="57"/>
      <c r="D128" s="57"/>
      <c r="E128" s="57"/>
      <c r="F128" s="57"/>
    </row>
    <row r="129" spans="1:6" ht="15.6">
      <c r="A129" s="57"/>
      <c r="B129" s="57"/>
      <c r="C129" s="57"/>
      <c r="D129" s="57"/>
      <c r="E129" s="57"/>
      <c r="F129" s="57"/>
    </row>
    <row r="130" spans="1:6" ht="15.6">
      <c r="A130" s="57"/>
      <c r="B130" s="57"/>
      <c r="C130" s="57"/>
      <c r="D130" s="57"/>
      <c r="E130" s="57"/>
      <c r="F130" s="57"/>
    </row>
    <row r="131" spans="1:6" ht="15.6">
      <c r="A131" s="57"/>
      <c r="B131" s="57"/>
      <c r="C131" s="57"/>
      <c r="D131" s="57"/>
      <c r="E131" s="57"/>
      <c r="F131" s="57"/>
    </row>
    <row r="132" spans="1:6" ht="15.6">
      <c r="A132" s="57"/>
      <c r="B132" s="57"/>
      <c r="C132" s="57"/>
      <c r="D132" s="57"/>
      <c r="E132" s="57"/>
      <c r="F132" s="57"/>
    </row>
    <row r="133" spans="1:6" ht="15.6">
      <c r="A133" s="57"/>
      <c r="B133" s="57"/>
      <c r="C133" s="57"/>
      <c r="D133" s="57"/>
      <c r="E133" s="57"/>
      <c r="F133" s="57"/>
    </row>
    <row r="134" spans="1:6" ht="15.6">
      <c r="A134" s="57"/>
      <c r="B134" s="57"/>
      <c r="C134" s="57"/>
      <c r="D134" s="57"/>
      <c r="E134" s="57"/>
      <c r="F134" s="57"/>
    </row>
    <row r="135" spans="1:6" ht="15.6">
      <c r="A135" s="57"/>
      <c r="B135" s="57"/>
      <c r="C135" s="57"/>
      <c r="D135" s="57"/>
      <c r="E135" s="57"/>
      <c r="F135" s="57"/>
    </row>
    <row r="136" spans="1:6" ht="15.6">
      <c r="A136" s="57"/>
      <c r="B136" s="57"/>
      <c r="C136" s="57"/>
      <c r="D136" s="57"/>
      <c r="E136" s="57"/>
      <c r="F136" s="57"/>
    </row>
    <row r="137" spans="1:6" ht="15.6">
      <c r="A137" s="57"/>
      <c r="B137" s="57"/>
      <c r="C137" s="57"/>
      <c r="D137" s="57"/>
      <c r="E137" s="57"/>
      <c r="F137" s="57"/>
    </row>
    <row r="138" spans="1:6" ht="15.6">
      <c r="A138" s="57"/>
      <c r="B138" s="57"/>
      <c r="C138" s="57"/>
      <c r="D138" s="57"/>
      <c r="E138" s="57"/>
      <c r="F138" s="57"/>
    </row>
    <row r="139" spans="1:6" ht="15.6">
      <c r="A139" s="57"/>
      <c r="B139" s="57"/>
      <c r="C139" s="57"/>
      <c r="D139" s="57"/>
      <c r="E139" s="57"/>
      <c r="F139" s="57"/>
    </row>
    <row r="140" spans="1:6" ht="15.6">
      <c r="A140" s="57"/>
      <c r="B140" s="57"/>
      <c r="C140" s="57"/>
      <c r="D140" s="57"/>
      <c r="E140" s="57"/>
      <c r="F140" s="57"/>
    </row>
    <row r="141" spans="1:6" ht="15.6">
      <c r="A141" s="57"/>
      <c r="B141" s="57"/>
      <c r="C141" s="57"/>
      <c r="D141" s="57"/>
      <c r="E141" s="57"/>
      <c r="F141" s="57"/>
    </row>
    <row r="142" spans="1:6" ht="15.6">
      <c r="A142" s="57"/>
      <c r="B142" s="57"/>
      <c r="C142" s="57"/>
      <c r="D142" s="57"/>
      <c r="E142" s="57"/>
      <c r="F142" s="57"/>
    </row>
    <row r="143" spans="1:6" ht="15.6">
      <c r="A143" s="57"/>
      <c r="B143" s="57"/>
      <c r="C143" s="57"/>
      <c r="D143" s="57"/>
      <c r="E143" s="57"/>
      <c r="F143" s="57"/>
    </row>
    <row r="144" spans="1:6" ht="15.6">
      <c r="A144" s="57"/>
      <c r="B144" s="57"/>
      <c r="C144" s="57"/>
      <c r="D144" s="57"/>
      <c r="E144" s="57"/>
      <c r="F144" s="57"/>
    </row>
    <row r="145" spans="1:6" ht="15.6">
      <c r="A145" s="57"/>
      <c r="B145" s="57"/>
      <c r="C145" s="57"/>
      <c r="D145" s="57"/>
      <c r="E145" s="57"/>
      <c r="F145" s="57"/>
    </row>
    <row r="146" spans="1:6" ht="15.6">
      <c r="A146" s="57"/>
      <c r="B146" s="57"/>
      <c r="C146" s="57"/>
      <c r="D146" s="57"/>
      <c r="E146" s="57"/>
      <c r="F146" s="57"/>
    </row>
    <row r="147" spans="1:6" ht="15.6">
      <c r="A147" s="57"/>
      <c r="B147" s="57"/>
      <c r="C147" s="57"/>
      <c r="D147" s="57"/>
      <c r="E147" s="57"/>
      <c r="F147" s="57"/>
    </row>
    <row r="148" spans="1:6" ht="15.6">
      <c r="A148" s="57"/>
      <c r="B148" s="57"/>
      <c r="C148" s="57"/>
      <c r="D148" s="57"/>
      <c r="E148" s="57"/>
      <c r="F148" s="57"/>
    </row>
    <row r="149" spans="1:6" ht="15.6">
      <c r="A149" s="57"/>
      <c r="B149" s="57"/>
      <c r="C149" s="57"/>
      <c r="D149" s="57"/>
      <c r="E149" s="57"/>
      <c r="F149" s="57"/>
    </row>
    <row r="150" spans="1:6" ht="15.6">
      <c r="A150" s="57"/>
      <c r="B150" s="57"/>
      <c r="C150" s="57"/>
      <c r="D150" s="57"/>
      <c r="E150" s="57"/>
      <c r="F150" s="57"/>
    </row>
    <row r="151" spans="1:6" ht="15.6">
      <c r="A151" s="57"/>
      <c r="B151" s="57"/>
      <c r="C151" s="57"/>
      <c r="D151" s="57"/>
      <c r="E151" s="57"/>
      <c r="F151" s="57"/>
    </row>
    <row r="152" spans="1:6" ht="15.6">
      <c r="A152" s="57"/>
      <c r="B152" s="57"/>
      <c r="C152" s="57"/>
      <c r="D152" s="57"/>
      <c r="E152" s="57"/>
      <c r="F152" s="57"/>
    </row>
    <row r="153" spans="1:6" ht="15.6">
      <c r="A153" s="57"/>
      <c r="B153" s="57"/>
      <c r="C153" s="57"/>
      <c r="D153" s="57"/>
      <c r="E153" s="57"/>
      <c r="F153" s="57"/>
    </row>
    <row r="154" spans="1:6" ht="15.6">
      <c r="A154" s="57"/>
      <c r="B154" s="57"/>
      <c r="C154" s="57"/>
      <c r="D154" s="57"/>
      <c r="E154" s="57"/>
      <c r="F154" s="57"/>
    </row>
    <row r="155" spans="1:6" ht="15.6">
      <c r="A155" s="57"/>
      <c r="B155" s="57"/>
      <c r="C155" s="57"/>
      <c r="D155" s="57"/>
      <c r="E155" s="57"/>
      <c r="F155" s="57"/>
    </row>
    <row r="156" spans="1:6" ht="15.6">
      <c r="A156" s="57"/>
      <c r="B156" s="57"/>
      <c r="C156" s="57"/>
      <c r="D156" s="57"/>
      <c r="E156" s="57"/>
      <c r="F156" s="57"/>
    </row>
    <row r="157" spans="1:6" ht="15.6">
      <c r="A157" s="57"/>
      <c r="B157" s="57"/>
      <c r="C157" s="57"/>
      <c r="D157" s="57"/>
      <c r="E157" s="57"/>
      <c r="F157" s="57"/>
    </row>
    <row r="158" spans="1:6" ht="15.6">
      <c r="A158" s="57"/>
      <c r="B158" s="57"/>
      <c r="C158" s="57"/>
      <c r="D158" s="57"/>
      <c r="E158" s="57"/>
      <c r="F158" s="57"/>
    </row>
    <row r="159" spans="1:6" ht="15.6">
      <c r="A159" s="57"/>
      <c r="B159" s="57"/>
      <c r="C159" s="57"/>
      <c r="D159" s="57"/>
      <c r="E159" s="57"/>
      <c r="F159" s="57"/>
    </row>
    <row r="160" spans="1:6" ht="15.6">
      <c r="A160" s="57"/>
      <c r="B160" s="57"/>
      <c r="C160" s="57"/>
      <c r="D160" s="57"/>
      <c r="E160" s="57"/>
      <c r="F160" s="57"/>
    </row>
    <row r="161" spans="1:6" ht="15.6">
      <c r="A161" s="57"/>
      <c r="B161" s="57"/>
      <c r="C161" s="57"/>
      <c r="D161" s="57"/>
      <c r="E161" s="57"/>
      <c r="F161" s="57"/>
    </row>
    <row r="162" spans="1:6" ht="15.6">
      <c r="A162" s="57"/>
      <c r="B162" s="57"/>
      <c r="C162" s="57"/>
      <c r="D162" s="57"/>
      <c r="E162" s="57"/>
      <c r="F162" s="57"/>
    </row>
    <row r="163" spans="1:6" ht="15.6">
      <c r="A163" s="57"/>
      <c r="B163" s="57"/>
      <c r="C163" s="57"/>
      <c r="D163" s="57"/>
      <c r="E163" s="57"/>
      <c r="F163" s="57"/>
    </row>
    <row r="164" spans="1:6" ht="15.6">
      <c r="A164" s="57"/>
      <c r="B164" s="57"/>
      <c r="C164" s="57"/>
      <c r="D164" s="57"/>
      <c r="E164" s="57"/>
      <c r="F164" s="57"/>
    </row>
    <row r="165" spans="1:6" ht="15.6">
      <c r="A165" s="57"/>
      <c r="B165" s="57"/>
      <c r="C165" s="57"/>
      <c r="D165" s="57"/>
      <c r="E165" s="57"/>
      <c r="F165" s="57"/>
    </row>
    <row r="166" spans="1:6" ht="15.6">
      <c r="A166" s="57"/>
      <c r="B166" s="57"/>
      <c r="C166" s="57"/>
      <c r="D166" s="57"/>
      <c r="E166" s="57"/>
      <c r="F166" s="57"/>
    </row>
    <row r="167" spans="1:6" ht="15.6">
      <c r="A167" s="57"/>
      <c r="B167" s="57"/>
      <c r="C167" s="57"/>
      <c r="D167" s="57"/>
      <c r="E167" s="57"/>
      <c r="F167" s="57"/>
    </row>
    <row r="168" spans="1:6" ht="15.6">
      <c r="A168" s="57"/>
      <c r="B168" s="57"/>
      <c r="C168" s="57"/>
      <c r="D168" s="57"/>
      <c r="E168" s="57"/>
      <c r="F168" s="57"/>
    </row>
    <row r="169" spans="1:6" ht="15.6">
      <c r="A169" s="57"/>
      <c r="B169" s="57"/>
      <c r="C169" s="57"/>
      <c r="D169" s="57"/>
      <c r="E169" s="57"/>
      <c r="F169" s="57"/>
    </row>
    <row r="170" spans="1:6" ht="15.6">
      <c r="A170" s="57"/>
      <c r="B170" s="57"/>
      <c r="C170" s="57"/>
      <c r="D170" s="57"/>
      <c r="E170" s="57"/>
      <c r="F170" s="57"/>
    </row>
    <row r="171" spans="1:6" ht="15.6">
      <c r="A171" s="57"/>
      <c r="B171" s="57"/>
      <c r="C171" s="57"/>
      <c r="D171" s="57"/>
      <c r="E171" s="57"/>
      <c r="F171" s="57"/>
    </row>
    <row r="172" spans="1:6" ht="15.6">
      <c r="A172" s="57"/>
      <c r="B172" s="57"/>
      <c r="C172" s="57"/>
      <c r="D172" s="57"/>
      <c r="E172" s="57"/>
      <c r="F172" s="57"/>
    </row>
    <row r="173" spans="1:6" ht="15.6">
      <c r="A173" s="57"/>
      <c r="B173" s="57"/>
      <c r="C173" s="57"/>
      <c r="D173" s="57"/>
      <c r="E173" s="57"/>
      <c r="F173" s="57"/>
    </row>
    <row r="174" spans="1:6" ht="15.6">
      <c r="A174" s="57"/>
      <c r="B174" s="57"/>
      <c r="C174" s="57"/>
      <c r="D174" s="57"/>
      <c r="E174" s="57"/>
      <c r="F174" s="57"/>
    </row>
    <row r="175" spans="1:6" ht="15.6">
      <c r="A175" s="57"/>
      <c r="B175" s="57"/>
      <c r="C175" s="57"/>
      <c r="D175" s="57"/>
      <c r="E175" s="57"/>
      <c r="F175" s="57"/>
    </row>
    <row r="176" spans="1:6" ht="15.6">
      <c r="A176" s="57"/>
      <c r="B176" s="57"/>
      <c r="C176" s="57"/>
      <c r="D176" s="57"/>
      <c r="E176" s="57"/>
      <c r="F176" s="57"/>
    </row>
    <row r="177" spans="1:6" ht="15.6">
      <c r="A177" s="57"/>
      <c r="B177" s="57"/>
      <c r="C177" s="57"/>
      <c r="D177" s="57"/>
      <c r="E177" s="57"/>
      <c r="F177" s="57"/>
    </row>
    <row r="178" spans="1:6" ht="15.6">
      <c r="A178" s="57"/>
      <c r="B178" s="57"/>
      <c r="C178" s="57"/>
      <c r="D178" s="57"/>
      <c r="E178" s="57"/>
      <c r="F178" s="57"/>
    </row>
    <row r="179" spans="1:6" ht="15.6">
      <c r="A179" s="57"/>
      <c r="B179" s="57"/>
      <c r="C179" s="57"/>
      <c r="D179" s="57"/>
      <c r="E179" s="57"/>
      <c r="F179" s="57"/>
    </row>
    <row r="180" spans="1:6" ht="15.6">
      <c r="A180" s="57"/>
      <c r="B180" s="57"/>
      <c r="C180" s="57"/>
      <c r="D180" s="57"/>
      <c r="E180" s="57"/>
      <c r="F180" s="57"/>
    </row>
    <row r="181" spans="1:6" ht="15.6">
      <c r="A181" s="57"/>
      <c r="B181" s="57"/>
      <c r="C181" s="57"/>
      <c r="D181" s="57"/>
      <c r="E181" s="57"/>
      <c r="F181" s="57"/>
    </row>
    <row r="182" spans="1:6" ht="15.6">
      <c r="A182" s="57"/>
      <c r="B182" s="57"/>
      <c r="C182" s="57"/>
      <c r="D182" s="57"/>
      <c r="E182" s="57"/>
      <c r="F182" s="57"/>
    </row>
    <row r="183" spans="1:6" ht="15.6">
      <c r="A183" s="57"/>
      <c r="B183" s="57"/>
      <c r="C183" s="57"/>
      <c r="D183" s="57"/>
      <c r="E183" s="57"/>
      <c r="F183" s="57"/>
    </row>
    <row r="184" spans="1:6" ht="15.6">
      <c r="A184" s="57"/>
      <c r="B184" s="57"/>
      <c r="C184" s="57"/>
      <c r="D184" s="57"/>
      <c r="E184" s="57"/>
      <c r="F184" s="57"/>
    </row>
    <row r="185" spans="1:6" ht="15.6">
      <c r="A185" s="57"/>
      <c r="B185" s="57"/>
      <c r="C185" s="57"/>
      <c r="D185" s="57"/>
      <c r="E185" s="57"/>
      <c r="F185" s="57"/>
    </row>
    <row r="186" spans="1:6" ht="15.6">
      <c r="A186" s="57"/>
      <c r="B186" s="57"/>
      <c r="C186" s="57"/>
      <c r="D186" s="57"/>
      <c r="E186" s="57"/>
      <c r="F186" s="57"/>
    </row>
    <row r="187" spans="1:6" ht="15.6">
      <c r="A187" s="57"/>
      <c r="B187" s="57"/>
      <c r="C187" s="57"/>
      <c r="D187" s="57"/>
      <c r="E187" s="57"/>
      <c r="F187" s="57"/>
    </row>
    <row r="188" spans="1:6" ht="15.6">
      <c r="A188" s="57"/>
      <c r="B188" s="57"/>
      <c r="C188" s="57"/>
      <c r="D188" s="57"/>
      <c r="E188" s="57"/>
      <c r="F188" s="57"/>
    </row>
    <row r="189" spans="1:6" ht="15.6">
      <c r="A189" s="57"/>
      <c r="B189" s="57"/>
      <c r="C189" s="57"/>
      <c r="D189" s="57"/>
      <c r="E189" s="57"/>
      <c r="F189" s="57"/>
    </row>
    <row r="190" spans="1:6" ht="15.6">
      <c r="A190" s="57"/>
      <c r="B190" s="57"/>
      <c r="C190" s="57"/>
      <c r="D190" s="57"/>
      <c r="E190" s="57"/>
      <c r="F190" s="57"/>
    </row>
    <row r="191" spans="1:6" ht="15.6">
      <c r="A191" s="57"/>
      <c r="B191" s="57"/>
      <c r="C191" s="57"/>
      <c r="D191" s="57"/>
      <c r="E191" s="57"/>
      <c r="F191" s="57"/>
    </row>
    <row r="192" spans="1:6" ht="15.6">
      <c r="A192" s="57"/>
      <c r="B192" s="57"/>
      <c r="C192" s="57"/>
      <c r="D192" s="57"/>
      <c r="E192" s="57"/>
      <c r="F192" s="57"/>
    </row>
    <row r="193" spans="1:6" ht="15.6">
      <c r="A193" s="57"/>
      <c r="B193" s="57"/>
      <c r="C193" s="57"/>
      <c r="D193" s="57"/>
      <c r="E193" s="57"/>
      <c r="F193" s="57"/>
    </row>
    <row r="194" spans="1:6" ht="15.6">
      <c r="A194" s="57"/>
      <c r="B194" s="57"/>
      <c r="C194" s="57"/>
      <c r="D194" s="57"/>
      <c r="E194" s="57"/>
      <c r="F194" s="57"/>
    </row>
    <row r="195" spans="1:6" ht="15.6">
      <c r="A195" s="57"/>
      <c r="B195" s="57"/>
      <c r="C195" s="57"/>
      <c r="D195" s="57"/>
      <c r="E195" s="57"/>
      <c r="F195" s="57"/>
    </row>
    <row r="196" spans="1:6" ht="15.6">
      <c r="A196" s="57"/>
      <c r="B196" s="57"/>
      <c r="C196" s="57"/>
      <c r="D196" s="57"/>
      <c r="E196" s="57"/>
      <c r="F196" s="57"/>
    </row>
    <row r="197" spans="1:6" ht="15.6">
      <c r="A197" s="57"/>
      <c r="B197" s="57"/>
      <c r="C197" s="57"/>
      <c r="D197" s="57"/>
      <c r="E197" s="57"/>
      <c r="F197" s="57"/>
    </row>
    <row r="198" spans="1:6" ht="15.6">
      <c r="A198" s="57"/>
      <c r="B198" s="57"/>
      <c r="C198" s="57"/>
      <c r="D198" s="57"/>
      <c r="E198" s="57"/>
      <c r="F198" s="57"/>
    </row>
    <row r="199" spans="1:6" ht="15.6">
      <c r="A199" s="57"/>
      <c r="B199" s="57"/>
      <c r="C199" s="57"/>
      <c r="D199" s="57"/>
      <c r="E199" s="57"/>
      <c r="F199" s="57"/>
    </row>
    <row r="200" spans="1:6" ht="15.6">
      <c r="A200" s="57"/>
      <c r="B200" s="57"/>
      <c r="C200" s="57"/>
      <c r="D200" s="57"/>
      <c r="E200" s="57"/>
      <c r="F200" s="57"/>
    </row>
    <row r="201" spans="1:6" ht="15.6">
      <c r="A201" s="57"/>
      <c r="B201" s="57"/>
      <c r="C201" s="57"/>
      <c r="D201" s="57"/>
      <c r="E201" s="57"/>
      <c r="F201" s="57"/>
    </row>
    <row r="202" spans="1:6" ht="15.6">
      <c r="A202" s="57"/>
      <c r="B202" s="57"/>
      <c r="C202" s="57"/>
      <c r="D202" s="57"/>
      <c r="E202" s="57"/>
      <c r="F202" s="57"/>
    </row>
    <row r="203" spans="1:6" ht="15.6">
      <c r="A203" s="57"/>
      <c r="B203" s="57"/>
      <c r="C203" s="57"/>
      <c r="D203" s="57"/>
      <c r="E203" s="57"/>
      <c r="F203" s="57"/>
    </row>
    <row r="204" spans="1:6" ht="15.6">
      <c r="A204" s="57"/>
      <c r="B204" s="57"/>
      <c r="C204" s="57"/>
      <c r="D204" s="57"/>
      <c r="E204" s="57"/>
      <c r="F204" s="57"/>
    </row>
    <row r="205" spans="1:6" ht="15.6">
      <c r="A205" s="57"/>
      <c r="B205" s="57"/>
      <c r="C205" s="57"/>
      <c r="D205" s="57"/>
      <c r="E205" s="57"/>
      <c r="F205" s="57"/>
    </row>
    <row r="206" spans="1:6" ht="15.6">
      <c r="A206" s="57"/>
      <c r="B206" s="57"/>
      <c r="C206" s="57"/>
      <c r="D206" s="57"/>
      <c r="E206" s="57"/>
      <c r="F206" s="57"/>
    </row>
    <row r="207" spans="1:6" ht="15.6">
      <c r="A207" s="57"/>
      <c r="B207" s="57"/>
      <c r="C207" s="57"/>
      <c r="D207" s="57"/>
      <c r="E207" s="57"/>
      <c r="F207" s="57"/>
    </row>
    <row r="208" spans="1:6" ht="15.6">
      <c r="A208" s="57"/>
      <c r="B208" s="57"/>
      <c r="C208" s="57"/>
      <c r="D208" s="57"/>
      <c r="E208" s="57"/>
      <c r="F208" s="57"/>
    </row>
    <row r="209" spans="1:6" ht="15.6">
      <c r="A209" s="57"/>
      <c r="B209" s="57"/>
      <c r="C209" s="57"/>
      <c r="D209" s="57"/>
      <c r="E209" s="57"/>
      <c r="F209" s="57"/>
    </row>
    <row r="210" spans="1:6" ht="15.6">
      <c r="A210" s="57"/>
      <c r="B210" s="57"/>
      <c r="C210" s="57"/>
      <c r="D210" s="57"/>
      <c r="E210" s="57"/>
      <c r="F210" s="57"/>
    </row>
    <row r="211" spans="1:6" ht="15.6">
      <c r="A211" s="57"/>
      <c r="B211" s="57"/>
      <c r="C211" s="57"/>
      <c r="D211" s="57"/>
      <c r="E211" s="57"/>
      <c r="F211" s="57"/>
    </row>
    <row r="212" spans="1:6" ht="15.6">
      <c r="A212" s="57"/>
      <c r="B212" s="57"/>
      <c r="C212" s="57"/>
      <c r="D212" s="57"/>
      <c r="E212" s="57"/>
      <c r="F212" s="57"/>
    </row>
    <row r="213" spans="1:6" ht="15.6">
      <c r="A213" s="57"/>
      <c r="B213" s="57"/>
      <c r="C213" s="57"/>
      <c r="D213" s="57"/>
      <c r="E213" s="57"/>
      <c r="F213" s="57"/>
    </row>
    <row r="214" spans="1:6" ht="15.6">
      <c r="A214" s="57"/>
      <c r="B214" s="57"/>
      <c r="C214" s="57"/>
      <c r="D214" s="57"/>
      <c r="E214" s="57"/>
      <c r="F214" s="57"/>
    </row>
    <row r="215" spans="1:6" ht="15.6">
      <c r="A215" s="57"/>
      <c r="B215" s="57"/>
      <c r="C215" s="57"/>
      <c r="D215" s="57"/>
      <c r="E215" s="57"/>
      <c r="F215" s="57"/>
    </row>
    <row r="216" spans="1:6" ht="15.6">
      <c r="A216" s="57"/>
      <c r="B216" s="57"/>
      <c r="C216" s="57"/>
      <c r="D216" s="57"/>
      <c r="E216" s="57"/>
      <c r="F216" s="57"/>
    </row>
    <row r="217" spans="1:6" ht="15.6">
      <c r="A217" s="57"/>
      <c r="B217" s="57"/>
      <c r="C217" s="57"/>
      <c r="D217" s="57"/>
      <c r="E217" s="57"/>
      <c r="F217" s="57"/>
    </row>
    <row r="218" spans="1:6" ht="15.6">
      <c r="A218" s="57"/>
      <c r="B218" s="57"/>
      <c r="C218" s="57"/>
      <c r="D218" s="57"/>
      <c r="E218" s="57"/>
      <c r="F218" s="57"/>
    </row>
    <row r="219" spans="1:6" ht="15.6">
      <c r="A219" s="57"/>
      <c r="B219" s="57"/>
      <c r="C219" s="57"/>
      <c r="D219" s="57"/>
      <c r="E219" s="57"/>
      <c r="F219" s="57"/>
    </row>
    <row r="220" spans="1:6" ht="15.6">
      <c r="A220" s="57"/>
      <c r="B220" s="57"/>
      <c r="C220" s="57"/>
      <c r="D220" s="57"/>
      <c r="E220" s="57"/>
      <c r="F220" s="57"/>
    </row>
    <row r="221" spans="1:6" ht="15.6">
      <c r="A221" s="57"/>
      <c r="B221" s="57"/>
      <c r="C221" s="57"/>
      <c r="D221" s="57"/>
      <c r="E221" s="57"/>
      <c r="F221" s="57"/>
    </row>
    <row r="222" spans="1:6" ht="15.6">
      <c r="A222" s="57"/>
      <c r="B222" s="57"/>
      <c r="C222" s="57"/>
      <c r="D222" s="57"/>
      <c r="E222" s="57"/>
      <c r="F222" s="57"/>
    </row>
    <row r="223" spans="1:6" ht="15.6">
      <c r="A223" s="57"/>
      <c r="B223" s="57"/>
      <c r="C223" s="57"/>
      <c r="D223" s="57"/>
      <c r="E223" s="57"/>
      <c r="F223" s="57"/>
    </row>
    <row r="224" spans="1:6" ht="15.6">
      <c r="A224" s="57"/>
      <c r="B224" s="57"/>
      <c r="C224" s="57"/>
      <c r="D224" s="57"/>
      <c r="E224" s="57"/>
      <c r="F224" s="57"/>
    </row>
    <row r="225" spans="1:6" ht="15.6">
      <c r="A225" s="57"/>
      <c r="B225" s="57"/>
      <c r="C225" s="57"/>
      <c r="D225" s="57"/>
      <c r="E225" s="57"/>
      <c r="F225" s="57"/>
    </row>
    <row r="226" spans="1:6" ht="15.6">
      <c r="A226" s="57"/>
      <c r="B226" s="57"/>
      <c r="C226" s="57"/>
      <c r="D226" s="57"/>
      <c r="E226" s="57"/>
      <c r="F226" s="57"/>
    </row>
    <row r="227" spans="1:6" ht="15.6">
      <c r="A227" s="57"/>
      <c r="B227" s="57"/>
      <c r="C227" s="57"/>
      <c r="D227" s="57"/>
      <c r="E227" s="57"/>
      <c r="F227" s="57"/>
    </row>
    <row r="228" spans="1:6" ht="15.6">
      <c r="A228" s="57"/>
      <c r="B228" s="57"/>
      <c r="C228" s="57"/>
      <c r="D228" s="57"/>
      <c r="E228" s="57"/>
      <c r="F228" s="57"/>
    </row>
    <row r="229" spans="1:6" ht="15.6">
      <c r="A229" s="57"/>
      <c r="B229" s="57"/>
      <c r="C229" s="57"/>
      <c r="D229" s="57"/>
      <c r="E229" s="57"/>
      <c r="F229" s="57"/>
    </row>
    <row r="230" spans="1:6" ht="15.6">
      <c r="A230" s="57"/>
      <c r="B230" s="57"/>
      <c r="C230" s="57"/>
      <c r="D230" s="57"/>
      <c r="E230" s="57"/>
      <c r="F230" s="57"/>
    </row>
    <row r="231" spans="1:6" ht="15.6">
      <c r="A231" s="57"/>
      <c r="B231" s="57"/>
      <c r="C231" s="57"/>
      <c r="D231" s="57"/>
      <c r="E231" s="57"/>
      <c r="F231" s="57"/>
    </row>
    <row r="232" spans="1:6" ht="15.6">
      <c r="A232" s="57"/>
      <c r="B232" s="57"/>
      <c r="C232" s="57"/>
      <c r="D232" s="57"/>
      <c r="E232" s="57"/>
      <c r="F232" s="57"/>
    </row>
    <row r="233" spans="1:6" ht="15.6">
      <c r="A233" s="57"/>
      <c r="B233" s="57"/>
      <c r="C233" s="57"/>
      <c r="D233" s="57"/>
      <c r="E233" s="57"/>
      <c r="F233" s="57"/>
    </row>
    <row r="234" spans="1:6" ht="15.6">
      <c r="A234" s="57"/>
      <c r="B234" s="57"/>
      <c r="C234" s="57"/>
      <c r="D234" s="57"/>
      <c r="E234" s="57"/>
      <c r="F234" s="57"/>
    </row>
    <row r="235" spans="1:6" ht="15.6">
      <c r="A235" s="57"/>
      <c r="B235" s="57"/>
      <c r="C235" s="57"/>
      <c r="D235" s="57"/>
      <c r="E235" s="57"/>
      <c r="F235" s="57"/>
    </row>
    <row r="236" spans="1:6" ht="15.6">
      <c r="A236" s="57"/>
      <c r="B236" s="57"/>
      <c r="C236" s="57"/>
      <c r="D236" s="57"/>
      <c r="E236" s="57"/>
      <c r="F236" s="57"/>
    </row>
    <row r="237" spans="1:6" ht="15.6">
      <c r="A237" s="57"/>
      <c r="B237" s="57"/>
      <c r="C237" s="57"/>
      <c r="D237" s="57"/>
      <c r="E237" s="57"/>
      <c r="F237" s="57"/>
    </row>
    <row r="238" spans="1:6" ht="15.6">
      <c r="A238" s="57"/>
      <c r="B238" s="57"/>
      <c r="C238" s="57"/>
      <c r="D238" s="57"/>
      <c r="E238" s="57"/>
      <c r="F238" s="57"/>
    </row>
    <row r="239" spans="1:6" ht="15.6">
      <c r="A239" s="57"/>
      <c r="B239" s="57"/>
      <c r="C239" s="57"/>
      <c r="D239" s="57"/>
      <c r="E239" s="57"/>
      <c r="F239" s="57"/>
    </row>
    <row r="240" spans="1:6" ht="15.6">
      <c r="A240" s="57"/>
      <c r="B240" s="57"/>
      <c r="C240" s="57"/>
      <c r="D240" s="57"/>
      <c r="E240" s="57"/>
      <c r="F240" s="57"/>
    </row>
    <row r="241" spans="1:6" ht="15.6">
      <c r="A241" s="57"/>
      <c r="B241" s="57"/>
      <c r="C241" s="57"/>
      <c r="D241" s="57"/>
      <c r="E241" s="57"/>
      <c r="F241" s="57"/>
    </row>
    <row r="242" spans="1:6" ht="15.6">
      <c r="A242" s="57"/>
      <c r="B242" s="57"/>
      <c r="C242" s="57"/>
      <c r="D242" s="57"/>
      <c r="E242" s="57"/>
      <c r="F242" s="57"/>
    </row>
    <row r="243" spans="1:6" ht="15.6">
      <c r="A243" s="57"/>
      <c r="B243" s="57"/>
      <c r="C243" s="57"/>
      <c r="D243" s="57"/>
      <c r="E243" s="57"/>
      <c r="F243" s="57"/>
    </row>
    <row r="244" spans="1:6" ht="15.6">
      <c r="A244" s="57"/>
      <c r="B244" s="57"/>
      <c r="C244" s="57"/>
      <c r="D244" s="57"/>
      <c r="E244" s="57"/>
      <c r="F244" s="57"/>
    </row>
    <row r="245" spans="1:6" ht="15.6">
      <c r="A245" s="57"/>
      <c r="B245" s="57"/>
      <c r="C245" s="57"/>
      <c r="D245" s="57"/>
      <c r="E245" s="57"/>
      <c r="F245" s="57"/>
    </row>
    <row r="246" spans="1:6" ht="15.6">
      <c r="A246" s="57"/>
      <c r="B246" s="57"/>
      <c r="C246" s="57"/>
      <c r="D246" s="57"/>
      <c r="E246" s="57"/>
      <c r="F246" s="57"/>
    </row>
    <row r="247" spans="1:6" ht="15.6">
      <c r="A247" s="57"/>
      <c r="B247" s="57"/>
      <c r="C247" s="57"/>
      <c r="D247" s="57"/>
      <c r="E247" s="57"/>
      <c r="F247" s="57"/>
    </row>
    <row r="248" spans="1:6" ht="15.6">
      <c r="A248" s="57"/>
      <c r="B248" s="57"/>
      <c r="C248" s="57"/>
      <c r="D248" s="57"/>
      <c r="E248" s="57"/>
      <c r="F248" s="57"/>
    </row>
    <row r="249" spans="1:6" ht="15.6">
      <c r="A249" s="57"/>
      <c r="B249" s="57"/>
      <c r="C249" s="57"/>
      <c r="D249" s="57"/>
      <c r="E249" s="57"/>
      <c r="F249" s="57"/>
    </row>
    <row r="250" spans="1:6" ht="15.6">
      <c r="A250" s="57"/>
      <c r="B250" s="57"/>
      <c r="C250" s="57"/>
      <c r="D250" s="57"/>
      <c r="E250" s="57"/>
      <c r="F250" s="57"/>
    </row>
    <row r="251" spans="1:6" ht="15.6">
      <c r="A251" s="57"/>
      <c r="B251" s="57"/>
      <c r="C251" s="57"/>
      <c r="D251" s="57"/>
      <c r="E251" s="57"/>
      <c r="F251" s="57"/>
    </row>
    <row r="252" spans="1:6" ht="15.6">
      <c r="A252" s="57"/>
      <c r="B252" s="57"/>
      <c r="C252" s="57"/>
      <c r="D252" s="57"/>
      <c r="E252" s="57"/>
      <c r="F252" s="57"/>
    </row>
    <row r="253" spans="1:6" ht="15.6">
      <c r="A253" s="57"/>
      <c r="B253" s="57"/>
      <c r="C253" s="57"/>
      <c r="D253" s="57"/>
      <c r="E253" s="57"/>
      <c r="F253" s="57"/>
    </row>
    <row r="254" spans="1:6" ht="15.6">
      <c r="A254" s="57"/>
      <c r="B254" s="57"/>
      <c r="C254" s="57"/>
      <c r="D254" s="57"/>
      <c r="E254" s="57"/>
      <c r="F254" s="57"/>
    </row>
    <row r="255" spans="1:6" ht="15.6">
      <c r="A255" s="57"/>
      <c r="B255" s="57"/>
      <c r="C255" s="57"/>
      <c r="D255" s="57"/>
      <c r="E255" s="57"/>
      <c r="F255" s="57"/>
    </row>
    <row r="256" spans="1:6" ht="15.6">
      <c r="A256" s="57"/>
      <c r="B256" s="57"/>
      <c r="C256" s="57"/>
      <c r="D256" s="57"/>
      <c r="E256" s="57"/>
      <c r="F256" s="57"/>
    </row>
    <row r="257" spans="1:6" ht="15.6">
      <c r="A257" s="57"/>
      <c r="B257" s="57"/>
      <c r="C257" s="57"/>
      <c r="D257" s="57"/>
      <c r="E257" s="57"/>
      <c r="F257" s="57"/>
    </row>
    <row r="258" spans="1:6" ht="15.6">
      <c r="A258" s="57"/>
      <c r="B258" s="57"/>
      <c r="C258" s="57"/>
      <c r="D258" s="57"/>
      <c r="E258" s="57"/>
      <c r="F258" s="57"/>
    </row>
    <row r="259" spans="1:6" ht="15.6">
      <c r="A259" s="57"/>
      <c r="B259" s="57"/>
      <c r="C259" s="57"/>
      <c r="D259" s="57"/>
      <c r="E259" s="57"/>
      <c r="F259" s="57"/>
    </row>
    <row r="260" spans="1:6" ht="15.6">
      <c r="A260" s="57"/>
      <c r="B260" s="57"/>
      <c r="C260" s="57"/>
      <c r="D260" s="57"/>
      <c r="E260" s="57"/>
      <c r="F260" s="57"/>
    </row>
    <row r="261" spans="1:6" ht="15.6">
      <c r="A261" s="57"/>
      <c r="B261" s="57"/>
      <c r="C261" s="57"/>
      <c r="D261" s="57"/>
      <c r="E261" s="57"/>
      <c r="F261" s="57"/>
    </row>
    <row r="262" spans="1:6" ht="15.6">
      <c r="A262" s="57"/>
      <c r="B262" s="57"/>
      <c r="C262" s="57"/>
      <c r="D262" s="57"/>
      <c r="E262" s="57"/>
      <c r="F262" s="57"/>
    </row>
    <row r="263" spans="1:6" ht="15.6">
      <c r="A263" s="57"/>
      <c r="B263" s="57"/>
      <c r="C263" s="57"/>
      <c r="D263" s="57"/>
      <c r="E263" s="57"/>
      <c r="F263" s="57"/>
    </row>
    <row r="264" spans="1:6" ht="15.6">
      <c r="A264" s="57"/>
      <c r="B264" s="57"/>
      <c r="C264" s="57"/>
      <c r="D264" s="57"/>
      <c r="E264" s="57"/>
      <c r="F264" s="57"/>
    </row>
    <row r="265" spans="1:6" ht="15.6">
      <c r="A265" s="57"/>
      <c r="B265" s="57"/>
      <c r="C265" s="57"/>
      <c r="D265" s="57"/>
      <c r="E265" s="57"/>
      <c r="F265" s="57"/>
    </row>
    <row r="266" spans="1:6" ht="15.6">
      <c r="A266" s="57"/>
      <c r="B266" s="57"/>
      <c r="C266" s="57"/>
      <c r="D266" s="57"/>
      <c r="E266" s="57"/>
      <c r="F266" s="57"/>
    </row>
    <row r="267" spans="1:6" ht="15.6">
      <c r="A267" s="57"/>
      <c r="B267" s="57"/>
      <c r="C267" s="57"/>
      <c r="D267" s="57"/>
      <c r="E267" s="57"/>
      <c r="F267" s="57"/>
    </row>
  </sheetData>
  <mergeCells count="18">
    <mergeCell ref="E2:H6"/>
    <mergeCell ref="F9:H9"/>
    <mergeCell ref="E39:G39"/>
    <mergeCell ref="A39:C39"/>
    <mergeCell ref="B20:H24"/>
    <mergeCell ref="B25:H29"/>
    <mergeCell ref="B30:H35"/>
    <mergeCell ref="B16:H16"/>
    <mergeCell ref="F13:H13"/>
    <mergeCell ref="B13:D13"/>
    <mergeCell ref="B17:D17"/>
    <mergeCell ref="F17:H17"/>
    <mergeCell ref="B12:H12"/>
    <mergeCell ref="A8:H8"/>
    <mergeCell ref="A40:C40"/>
    <mergeCell ref="E40:G40"/>
    <mergeCell ref="A37:C37"/>
    <mergeCell ref="E41:G41"/>
  </mergeCells>
  <pageMargins left="0.78740157480314965" right="0.39370078740157483" top="0.19685039370078741" bottom="0.2708333333333333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4AD5-0E6C-4C0E-97FB-F953C607D292}">
  <dimension ref="A1:H128"/>
  <sheetViews>
    <sheetView view="pageLayout" zoomScaleNormal="100" workbookViewId="0">
      <selection activeCell="D13" sqref="D13"/>
    </sheetView>
  </sheetViews>
  <sheetFormatPr defaultColWidth="11.42578125" defaultRowHeight="14.45"/>
  <cols>
    <col min="3" max="3" width="14.85546875" customWidth="1"/>
  </cols>
  <sheetData>
    <row r="1" spans="1:6">
      <c r="A1" s="25" t="s">
        <v>21</v>
      </c>
      <c r="E1" s="25" t="s">
        <v>22</v>
      </c>
    </row>
    <row r="2" spans="1:6">
      <c r="A2" s="25" t="s">
        <v>23</v>
      </c>
      <c r="E2" s="25" t="s">
        <v>24</v>
      </c>
      <c r="F2" s="31"/>
    </row>
    <row r="4" spans="1:6">
      <c r="A4" s="25"/>
      <c r="B4" s="76">
        <v>46085</v>
      </c>
      <c r="E4" s="77" t="s">
        <v>25</v>
      </c>
    </row>
    <row r="5" spans="1:6">
      <c r="B5" s="2"/>
      <c r="C5" s="78">
        <v>0</v>
      </c>
    </row>
    <row r="6" spans="1:6">
      <c r="B6" s="2"/>
      <c r="C6" s="78">
        <v>0</v>
      </c>
    </row>
    <row r="7" spans="1:6">
      <c r="B7" s="2"/>
      <c r="C7" s="4">
        <v>0</v>
      </c>
    </row>
    <row r="8" spans="1:6">
      <c r="B8" s="2"/>
      <c r="C8" s="78">
        <v>0</v>
      </c>
    </row>
    <row r="9" spans="1:6">
      <c r="B9" s="2"/>
      <c r="C9" s="78"/>
    </row>
    <row r="10" spans="1:6">
      <c r="B10" s="2"/>
      <c r="C10" s="78"/>
    </row>
    <row r="11" spans="1:6">
      <c r="B11" s="2"/>
      <c r="C11" s="78"/>
    </row>
    <row r="12" spans="1:6">
      <c r="A12" s="25"/>
      <c r="B12" s="10"/>
      <c r="E12" s="25"/>
    </row>
    <row r="13" spans="1:6">
      <c r="A13" s="25"/>
      <c r="E13" s="25"/>
      <c r="F13" s="31"/>
    </row>
    <row r="15" spans="1:6">
      <c r="A15" s="25"/>
      <c r="B15" s="76"/>
      <c r="E15" s="77"/>
    </row>
    <row r="16" spans="1:6">
      <c r="B16" s="2"/>
      <c r="C16" s="78"/>
    </row>
    <row r="17" spans="2:3">
      <c r="B17" s="2"/>
      <c r="C17" s="78"/>
    </row>
    <row r="18" spans="2:3">
      <c r="B18" s="2"/>
      <c r="C18" s="4"/>
    </row>
    <row r="19" spans="2:3">
      <c r="B19" s="2"/>
      <c r="C19" s="78"/>
    </row>
    <row r="20" spans="2:3">
      <c r="B20" s="2"/>
      <c r="C20" s="78"/>
    </row>
    <row r="21" spans="2:3">
      <c r="B21" s="2"/>
      <c r="C21" s="78"/>
    </row>
    <row r="22" spans="2:3">
      <c r="B22" s="2"/>
      <c r="C22" s="78"/>
    </row>
    <row r="23" spans="2:3">
      <c r="B23" s="2"/>
      <c r="C23" s="78"/>
    </row>
    <row r="24" spans="2:3">
      <c r="B24" s="2"/>
      <c r="C24" s="78"/>
    </row>
    <row r="25" spans="2:3">
      <c r="B25" s="2"/>
      <c r="C25" s="78"/>
    </row>
    <row r="26" spans="2:3">
      <c r="B26" s="2"/>
      <c r="C26" s="78"/>
    </row>
    <row r="27" spans="2:3">
      <c r="B27" s="2"/>
      <c r="C27" s="78"/>
    </row>
    <row r="28" spans="2:3">
      <c r="B28" s="2"/>
      <c r="C28" s="78"/>
    </row>
    <row r="29" spans="2:3">
      <c r="B29" s="2"/>
      <c r="C29" s="78"/>
    </row>
    <row r="30" spans="2:3">
      <c r="B30" s="2"/>
      <c r="C30" s="78"/>
    </row>
    <row r="31" spans="2:3">
      <c r="B31" s="2"/>
      <c r="C31" s="78"/>
    </row>
    <row r="34" spans="2:7">
      <c r="B34" s="25" t="s">
        <v>26</v>
      </c>
      <c r="C34" s="23">
        <f>SUM(C5:C33)</f>
        <v>0</v>
      </c>
    </row>
    <row r="35" spans="2:7">
      <c r="B35" s="25" t="s">
        <v>27</v>
      </c>
      <c r="C35" s="23">
        <v>0</v>
      </c>
    </row>
    <row r="36" spans="2:7">
      <c r="B36" s="25" t="s">
        <v>28</v>
      </c>
      <c r="C36" s="79">
        <f>C35-C34</f>
        <v>0</v>
      </c>
    </row>
    <row r="41" spans="2:7">
      <c r="C41" s="110"/>
      <c r="D41" s="110"/>
      <c r="E41" s="110"/>
    </row>
    <row r="43" spans="2:7">
      <c r="F43" s="89"/>
      <c r="G43" s="89"/>
    </row>
    <row r="44" spans="2:7">
      <c r="F44" s="89"/>
      <c r="G44" s="89"/>
    </row>
    <row r="127" spans="8:8" ht="14.45" customHeight="1">
      <c r="H127" s="89"/>
    </row>
    <row r="128" spans="8:8">
      <c r="H128" s="89"/>
    </row>
  </sheetData>
  <mergeCells count="1">
    <mergeCell ref="C41:E41"/>
  </mergeCells>
  <pageMargins left="0.7" right="0.125" top="0.75" bottom="0.75" header="0.3" footer="0.3"/>
  <pageSetup paperSize="9" orientation="portrait" horizontalDpi="360" verticalDpi="360" r:id="rId1"/>
  <headerFooter>
    <oddHeader xml:space="preserve">&amp;LSERVICIO TECNICO&amp;CUNIVERSAL MAQUINAS Y HERRAMIENTAS
&amp;RFORMATO DE VIATICOS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2C27-66DF-49DE-8A5D-1EB233C22E73}">
  <sheetPr codeName="Hoja3"/>
  <dimension ref="A1:H53"/>
  <sheetViews>
    <sheetView showGridLines="0" view="pageLayout" topLeftCell="A26" zoomScaleNormal="100" workbookViewId="0">
      <selection activeCell="A42" sqref="A42:D43"/>
    </sheetView>
  </sheetViews>
  <sheetFormatPr defaultColWidth="11.42578125" defaultRowHeight="14.45"/>
  <cols>
    <col min="7" max="7" width="11.42578125" customWidth="1"/>
  </cols>
  <sheetData>
    <row r="1" spans="1:8" ht="14.45" customHeight="1">
      <c r="A1" s="44"/>
      <c r="B1" s="43"/>
      <c r="C1" s="43"/>
      <c r="D1" s="42"/>
      <c r="E1" s="111" t="s">
        <v>29</v>
      </c>
      <c r="F1" s="112"/>
      <c r="G1" s="112"/>
      <c r="H1" s="113"/>
    </row>
    <row r="2" spans="1:8">
      <c r="A2" s="41"/>
      <c r="B2" s="40"/>
      <c r="C2" s="40"/>
      <c r="D2" s="39"/>
      <c r="E2" s="114"/>
      <c r="F2" s="115"/>
      <c r="G2" s="115"/>
      <c r="H2" s="116"/>
    </row>
    <row r="3" spans="1:8">
      <c r="A3" s="41"/>
      <c r="B3" s="40"/>
      <c r="C3" s="40"/>
      <c r="D3" s="39"/>
      <c r="E3" s="114"/>
      <c r="F3" s="115"/>
      <c r="G3" s="115"/>
      <c r="H3" s="116"/>
    </row>
    <row r="4" spans="1:8">
      <c r="A4" s="41"/>
      <c r="B4" s="40"/>
      <c r="C4" s="40"/>
      <c r="D4" s="39"/>
      <c r="E4" s="114"/>
      <c r="F4" s="115"/>
      <c r="G4" s="115"/>
      <c r="H4" s="116"/>
    </row>
    <row r="5" spans="1:8">
      <c r="A5" s="41"/>
      <c r="B5" s="40"/>
      <c r="C5" s="40"/>
      <c r="D5" s="39"/>
      <c r="E5" s="114"/>
      <c r="F5" s="115"/>
      <c r="G5" s="115"/>
      <c r="H5" s="116"/>
    </row>
    <row r="6" spans="1:8">
      <c r="A6" s="41"/>
      <c r="B6" s="40"/>
      <c r="C6" s="40"/>
      <c r="D6" s="39"/>
      <c r="E6" s="114"/>
      <c r="F6" s="115"/>
      <c r="G6" s="115"/>
      <c r="H6" s="116"/>
    </row>
    <row r="7" spans="1:8">
      <c r="A7" s="120" t="s">
        <v>30</v>
      </c>
      <c r="B7" s="121"/>
      <c r="C7" s="121"/>
      <c r="D7" s="122"/>
      <c r="E7" s="114"/>
      <c r="F7" s="115"/>
      <c r="G7" s="115"/>
      <c r="H7" s="116"/>
    </row>
    <row r="8" spans="1:8">
      <c r="A8" s="120"/>
      <c r="B8" s="121"/>
      <c r="C8" s="121"/>
      <c r="D8" s="122"/>
      <c r="E8" s="114"/>
      <c r="F8" s="115"/>
      <c r="G8" s="115"/>
      <c r="H8" s="116"/>
    </row>
    <row r="9" spans="1:8">
      <c r="A9" s="120"/>
      <c r="B9" s="121"/>
      <c r="C9" s="121"/>
      <c r="D9" s="122"/>
      <c r="E9" s="114"/>
      <c r="F9" s="115"/>
      <c r="G9" s="115"/>
      <c r="H9" s="116"/>
    </row>
    <row r="10" spans="1:8">
      <c r="A10" s="120"/>
      <c r="B10" s="121"/>
      <c r="C10" s="121"/>
      <c r="D10" s="122"/>
      <c r="E10" s="114"/>
      <c r="F10" s="115"/>
      <c r="G10" s="115"/>
      <c r="H10" s="116"/>
    </row>
    <row r="11" spans="1:8">
      <c r="A11" s="120"/>
      <c r="B11" s="121"/>
      <c r="C11" s="121"/>
      <c r="D11" s="122"/>
      <c r="E11" s="114"/>
      <c r="F11" s="115"/>
      <c r="G11" s="115"/>
      <c r="H11" s="116"/>
    </row>
    <row r="12" spans="1:8">
      <c r="A12" s="120"/>
      <c r="B12" s="121"/>
      <c r="C12" s="121"/>
      <c r="D12" s="122"/>
      <c r="E12" s="114"/>
      <c r="F12" s="115"/>
      <c r="G12" s="115"/>
      <c r="H12" s="116"/>
    </row>
    <row r="13" spans="1:8">
      <c r="A13" s="120"/>
      <c r="B13" s="121"/>
      <c r="C13" s="121"/>
      <c r="D13" s="122"/>
      <c r="E13" s="114"/>
      <c r="F13" s="115"/>
      <c r="G13" s="115"/>
      <c r="H13" s="116"/>
    </row>
    <row r="14" spans="1:8">
      <c r="A14" s="120"/>
      <c r="B14" s="121"/>
      <c r="C14" s="121"/>
      <c r="D14" s="122"/>
      <c r="E14" s="114"/>
      <c r="F14" s="115"/>
      <c r="G14" s="115"/>
      <c r="H14" s="116"/>
    </row>
    <row r="15" spans="1:8">
      <c r="A15" s="120"/>
      <c r="B15" s="121"/>
      <c r="C15" s="121"/>
      <c r="D15" s="122"/>
      <c r="E15" s="114"/>
      <c r="F15" s="115"/>
      <c r="G15" s="115"/>
      <c r="H15" s="116"/>
    </row>
    <row r="16" spans="1:8">
      <c r="A16" s="120"/>
      <c r="B16" s="121"/>
      <c r="C16" s="121"/>
      <c r="D16" s="122"/>
      <c r="E16" s="114"/>
      <c r="F16" s="115"/>
      <c r="G16" s="115"/>
      <c r="H16" s="116"/>
    </row>
    <row r="17" spans="1:8">
      <c r="A17" s="120"/>
      <c r="B17" s="121"/>
      <c r="C17" s="121"/>
      <c r="D17" s="122"/>
      <c r="E17" s="114"/>
      <c r="F17" s="115"/>
      <c r="G17" s="115"/>
      <c r="H17" s="116"/>
    </row>
    <row r="18" spans="1:8">
      <c r="A18" s="120"/>
      <c r="B18" s="121"/>
      <c r="C18" s="121"/>
      <c r="D18" s="122"/>
      <c r="E18" s="114"/>
      <c r="F18" s="115"/>
      <c r="G18" s="115"/>
      <c r="H18" s="116"/>
    </row>
    <row r="19" spans="1:8" ht="15" thickBot="1">
      <c r="A19" s="123"/>
      <c r="B19" s="124"/>
      <c r="C19" s="124"/>
      <c r="D19" s="125"/>
      <c r="E19" s="117"/>
      <c r="F19" s="118"/>
      <c r="G19" s="118"/>
      <c r="H19" s="119"/>
    </row>
    <row r="21" spans="1:8">
      <c r="A21" t="s">
        <v>31</v>
      </c>
    </row>
    <row r="23" spans="1:8">
      <c r="A23" s="127" t="s">
        <v>32</v>
      </c>
      <c r="B23" s="127"/>
      <c r="C23" s="126" t="s">
        <v>33</v>
      </c>
      <c r="D23" s="126"/>
      <c r="E23" s="126"/>
      <c r="F23" s="126"/>
      <c r="G23" s="126"/>
      <c r="H23" s="126"/>
    </row>
    <row r="24" spans="1:8">
      <c r="A24" s="127" t="s">
        <v>34</v>
      </c>
      <c r="B24" s="127"/>
      <c r="C24" s="126" t="s">
        <v>35</v>
      </c>
      <c r="D24" s="126"/>
      <c r="E24" s="126"/>
      <c r="F24" s="126"/>
      <c r="G24" s="126"/>
      <c r="H24" s="126"/>
    </row>
    <row r="25" spans="1:8">
      <c r="A25" s="127" t="s">
        <v>36</v>
      </c>
      <c r="B25" s="127"/>
      <c r="C25" s="126"/>
      <c r="D25" s="126"/>
      <c r="E25" s="126"/>
      <c r="F25" s="126"/>
      <c r="G25" s="126"/>
      <c r="H25" s="126"/>
    </row>
    <row r="26" spans="1:8">
      <c r="A26" s="127" t="s">
        <v>37</v>
      </c>
      <c r="B26" s="127"/>
      <c r="C26" s="126" t="s">
        <v>38</v>
      </c>
      <c r="D26" s="126"/>
      <c r="E26" s="126"/>
      <c r="F26" s="126"/>
      <c r="G26" s="126"/>
      <c r="H26" s="126"/>
    </row>
    <row r="27" spans="1:8">
      <c r="A27" s="127" t="s">
        <v>39</v>
      </c>
      <c r="B27" s="127"/>
      <c r="C27" s="129">
        <v>46122</v>
      </c>
      <c r="D27" s="129"/>
      <c r="E27" s="129"/>
      <c r="F27" s="129"/>
      <c r="G27" s="129"/>
      <c r="H27" s="129"/>
    </row>
    <row r="29" spans="1:8">
      <c r="A29" s="128" t="s">
        <v>40</v>
      </c>
      <c r="B29" s="128"/>
      <c r="C29" s="128"/>
      <c r="D29" s="128"/>
      <c r="E29" s="128"/>
      <c r="F29" s="128"/>
      <c r="G29" s="128"/>
      <c r="H29" s="128"/>
    </row>
    <row r="30" spans="1:8">
      <c r="A30" s="128"/>
      <c r="B30" s="128"/>
      <c r="C30" s="128"/>
      <c r="D30" s="128"/>
      <c r="E30" s="128"/>
      <c r="F30" s="128"/>
      <c r="G30" s="128"/>
      <c r="H30" s="128"/>
    </row>
    <row r="32" spans="1:8">
      <c r="A32" s="127" t="s">
        <v>41</v>
      </c>
      <c r="B32" s="127"/>
      <c r="C32" s="127" t="s">
        <v>42</v>
      </c>
      <c r="D32" s="127"/>
      <c r="E32" s="127"/>
      <c r="F32" s="127"/>
      <c r="G32" s="127" t="s">
        <v>43</v>
      </c>
      <c r="H32" s="127"/>
    </row>
    <row r="33" spans="1:8">
      <c r="A33" s="126">
        <v>1</v>
      </c>
      <c r="B33" s="126"/>
      <c r="C33" s="126" t="s">
        <v>44</v>
      </c>
      <c r="D33" s="126"/>
      <c r="E33" s="126"/>
      <c r="F33" s="126"/>
      <c r="G33" s="130">
        <v>400</v>
      </c>
      <c r="H33" s="130"/>
    </row>
    <row r="34" spans="1:8">
      <c r="A34" s="126">
        <v>1</v>
      </c>
      <c r="B34" s="126"/>
      <c r="C34" s="126" t="s">
        <v>45</v>
      </c>
      <c r="D34" s="126"/>
      <c r="E34" s="126"/>
      <c r="F34" s="126"/>
      <c r="G34" s="130">
        <v>300</v>
      </c>
      <c r="H34" s="130"/>
    </row>
    <row r="35" spans="1:8">
      <c r="A35" s="126">
        <v>1</v>
      </c>
      <c r="B35" s="126"/>
      <c r="C35" s="131" t="s">
        <v>46</v>
      </c>
      <c r="D35" s="126"/>
      <c r="E35" s="126"/>
      <c r="F35" s="126"/>
      <c r="G35" s="130">
        <v>152</v>
      </c>
      <c r="H35" s="130"/>
    </row>
    <row r="36" spans="1:8">
      <c r="A36" s="126">
        <v>1</v>
      </c>
      <c r="B36" s="126"/>
      <c r="C36" s="131" t="s">
        <v>47</v>
      </c>
      <c r="D36" s="126"/>
      <c r="E36" s="126"/>
      <c r="F36" s="126"/>
      <c r="G36" s="130">
        <v>360</v>
      </c>
      <c r="H36" s="130"/>
    </row>
    <row r="37" spans="1:8">
      <c r="A37" s="126">
        <v>80</v>
      </c>
      <c r="B37" s="126"/>
      <c r="C37" s="126" t="s">
        <v>48</v>
      </c>
      <c r="D37" s="126"/>
      <c r="E37" s="126"/>
      <c r="F37" s="126"/>
      <c r="G37" s="130">
        <v>1451.67</v>
      </c>
      <c r="H37" s="130"/>
    </row>
    <row r="38" spans="1:8">
      <c r="A38" s="126"/>
      <c r="B38" s="126"/>
      <c r="C38" s="126"/>
      <c r="D38" s="126"/>
      <c r="E38" s="126"/>
      <c r="F38" s="126"/>
      <c r="G38" s="130"/>
      <c r="H38" s="130"/>
    </row>
    <row r="39" spans="1:8">
      <c r="A39" s="126"/>
      <c r="B39" s="126"/>
      <c r="C39" s="126"/>
      <c r="D39" s="126"/>
      <c r="E39" s="126"/>
      <c r="F39" s="126"/>
      <c r="G39" s="130"/>
      <c r="H39" s="130"/>
    </row>
    <row r="40" spans="1:8">
      <c r="G40" s="4"/>
      <c r="H40" s="4"/>
    </row>
    <row r="41" spans="1:8">
      <c r="F41" t="s">
        <v>28</v>
      </c>
      <c r="G41" s="132">
        <f>SUM(G33:H39)</f>
        <v>2663.67</v>
      </c>
      <c r="H41" s="132"/>
    </row>
    <row r="42" spans="1:8">
      <c r="A42" s="133" t="s">
        <v>49</v>
      </c>
      <c r="B42" s="133"/>
      <c r="C42" s="133"/>
      <c r="D42" s="133"/>
      <c r="F42" t="s">
        <v>50</v>
      </c>
      <c r="G42" s="132">
        <f>G41*0.16</f>
        <v>426.18720000000002</v>
      </c>
      <c r="H42" s="132"/>
    </row>
    <row r="43" spans="1:8">
      <c r="A43" s="133" t="s">
        <v>51</v>
      </c>
      <c r="B43" s="133"/>
      <c r="C43" s="133"/>
      <c r="D43" s="133"/>
      <c r="F43" t="s">
        <v>52</v>
      </c>
      <c r="G43" s="136">
        <v>17.359300000000001</v>
      </c>
      <c r="H43" s="136"/>
    </row>
    <row r="44" spans="1:8">
      <c r="F44" t="s">
        <v>53</v>
      </c>
      <c r="G44" s="132">
        <f>(G41+G42)*G43</f>
        <v>53637.75809196</v>
      </c>
      <c r="H44" s="132"/>
    </row>
    <row r="45" spans="1:8">
      <c r="G45" s="51"/>
      <c r="H45" s="51"/>
    </row>
    <row r="46" spans="1:8">
      <c r="G46" s="51"/>
      <c r="H46" s="51"/>
    </row>
    <row r="48" spans="1:8">
      <c r="A48" s="127" t="s">
        <v>54</v>
      </c>
      <c r="B48" s="127"/>
      <c r="C48" s="127"/>
      <c r="D48" s="127"/>
      <c r="E48" s="127"/>
      <c r="F48" s="127"/>
      <c r="G48" s="127"/>
      <c r="H48" s="127"/>
    </row>
    <row r="49" spans="1:8">
      <c r="A49" s="134" t="s">
        <v>55</v>
      </c>
      <c r="B49" s="134"/>
      <c r="C49" s="134"/>
      <c r="D49" s="134"/>
      <c r="E49" s="134"/>
      <c r="F49" s="134"/>
      <c r="G49" s="134"/>
      <c r="H49" s="134"/>
    </row>
    <row r="50" spans="1:8">
      <c r="A50" s="135"/>
      <c r="B50" s="135"/>
      <c r="C50" s="135"/>
      <c r="D50" s="135"/>
      <c r="E50" s="135"/>
      <c r="F50" s="135"/>
      <c r="G50" s="135"/>
      <c r="H50" s="135"/>
    </row>
    <row r="51" spans="1:8">
      <c r="A51" s="135"/>
      <c r="B51" s="135"/>
      <c r="C51" s="135"/>
      <c r="D51" s="135"/>
      <c r="E51" s="135"/>
      <c r="F51" s="135"/>
      <c r="G51" s="135"/>
      <c r="H51" s="135"/>
    </row>
    <row r="53" spans="1:8">
      <c r="B53" s="133"/>
      <c r="C53" s="133"/>
      <c r="D53" s="133"/>
      <c r="E53" s="133"/>
      <c r="F53" s="133"/>
      <c r="G53" s="133"/>
    </row>
  </sheetData>
  <mergeCells count="46">
    <mergeCell ref="B53:G53"/>
    <mergeCell ref="A43:D43"/>
    <mergeCell ref="A42:D42"/>
    <mergeCell ref="A48:H48"/>
    <mergeCell ref="A49:H51"/>
    <mergeCell ref="G44:H44"/>
    <mergeCell ref="G43:H43"/>
    <mergeCell ref="A39:B39"/>
    <mergeCell ref="C39:F39"/>
    <mergeCell ref="G39:H39"/>
    <mergeCell ref="G41:H41"/>
    <mergeCell ref="G42:H42"/>
    <mergeCell ref="A37:B37"/>
    <mergeCell ref="C37:F37"/>
    <mergeCell ref="G37:H37"/>
    <mergeCell ref="A38:B38"/>
    <mergeCell ref="C38:F38"/>
    <mergeCell ref="G38:H38"/>
    <mergeCell ref="A36:B36"/>
    <mergeCell ref="C36:F36"/>
    <mergeCell ref="G36:H36"/>
    <mergeCell ref="A35:B35"/>
    <mergeCell ref="C35:F35"/>
    <mergeCell ref="G35:H35"/>
    <mergeCell ref="A33:B33"/>
    <mergeCell ref="C33:F33"/>
    <mergeCell ref="G33:H33"/>
    <mergeCell ref="A34:B34"/>
    <mergeCell ref="C34:F34"/>
    <mergeCell ref="G34:H34"/>
    <mergeCell ref="A27:B27"/>
    <mergeCell ref="C26:H26"/>
    <mergeCell ref="A29:H30"/>
    <mergeCell ref="A32:B32"/>
    <mergeCell ref="C32:F32"/>
    <mergeCell ref="G32:H32"/>
    <mergeCell ref="C27:H27"/>
    <mergeCell ref="A26:B26"/>
    <mergeCell ref="E1:H19"/>
    <mergeCell ref="A7:D19"/>
    <mergeCell ref="C23:H23"/>
    <mergeCell ref="C24:H24"/>
    <mergeCell ref="C25:H25"/>
    <mergeCell ref="A23:B23"/>
    <mergeCell ref="A24:B24"/>
    <mergeCell ref="A25:B25"/>
  </mergeCells>
  <pageMargins left="0.94972222222222213" right="0.21527777777777779" top="1.1781250000000001" bottom="0.75" header="0.3" footer="0.3"/>
  <pageSetup paperSize="9" scale="87" orientation="portrait" r:id="rId1"/>
  <headerFooter>
    <oddHeader>&amp;LCOTIZACION&amp;CUNIVERSAL MAQUINAS Y HERRAMIENTAS&amp;RSERVICIO TECNICO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BAD2-347E-408B-ACF6-2E1B4F3035B1}">
  <dimension ref="A1:H53"/>
  <sheetViews>
    <sheetView showGridLines="0" view="pageLayout" topLeftCell="A24" zoomScaleNormal="100" workbookViewId="0">
      <selection activeCell="A43" sqref="A43:D43"/>
    </sheetView>
  </sheetViews>
  <sheetFormatPr defaultColWidth="11.42578125" defaultRowHeight="14.45"/>
  <cols>
    <col min="7" max="7" width="11.42578125" customWidth="1"/>
  </cols>
  <sheetData>
    <row r="1" spans="1:8" ht="14.45" customHeight="1">
      <c r="A1" s="44"/>
      <c r="B1" s="43"/>
      <c r="C1" s="43"/>
      <c r="D1" s="42"/>
      <c r="E1" s="111" t="s">
        <v>29</v>
      </c>
      <c r="F1" s="112"/>
      <c r="G1" s="112"/>
      <c r="H1" s="113"/>
    </row>
    <row r="2" spans="1:8">
      <c r="A2" s="41"/>
      <c r="B2" s="40"/>
      <c r="C2" s="40"/>
      <c r="D2" s="39"/>
      <c r="E2" s="114"/>
      <c r="F2" s="115"/>
      <c r="G2" s="115"/>
      <c r="H2" s="116"/>
    </row>
    <row r="3" spans="1:8">
      <c r="A3" s="41"/>
      <c r="B3" s="40"/>
      <c r="C3" s="40"/>
      <c r="D3" s="39"/>
      <c r="E3" s="114"/>
      <c r="F3" s="115"/>
      <c r="G3" s="115"/>
      <c r="H3" s="116"/>
    </row>
    <row r="4" spans="1:8">
      <c r="A4" s="41"/>
      <c r="B4" s="40"/>
      <c r="C4" s="40"/>
      <c r="D4" s="39"/>
      <c r="E4" s="114"/>
      <c r="F4" s="115"/>
      <c r="G4" s="115"/>
      <c r="H4" s="116"/>
    </row>
    <row r="5" spans="1:8">
      <c r="A5" s="41"/>
      <c r="B5" s="40"/>
      <c r="C5" s="40"/>
      <c r="D5" s="39"/>
      <c r="E5" s="114"/>
      <c r="F5" s="115"/>
      <c r="G5" s="115"/>
      <c r="H5" s="116"/>
    </row>
    <row r="6" spans="1:8">
      <c r="A6" s="41"/>
      <c r="B6" s="40"/>
      <c r="C6" s="40"/>
      <c r="D6" s="39"/>
      <c r="E6" s="114"/>
      <c r="F6" s="115"/>
      <c r="G6" s="115"/>
      <c r="H6" s="116"/>
    </row>
    <row r="7" spans="1:8">
      <c r="A7" s="120" t="s">
        <v>30</v>
      </c>
      <c r="B7" s="121"/>
      <c r="C7" s="121"/>
      <c r="D7" s="122"/>
      <c r="E7" s="114"/>
      <c r="F7" s="115"/>
      <c r="G7" s="115"/>
      <c r="H7" s="116"/>
    </row>
    <row r="8" spans="1:8">
      <c r="A8" s="120"/>
      <c r="B8" s="121"/>
      <c r="C8" s="121"/>
      <c r="D8" s="122"/>
      <c r="E8" s="114"/>
      <c r="F8" s="115"/>
      <c r="G8" s="115"/>
      <c r="H8" s="116"/>
    </row>
    <row r="9" spans="1:8">
      <c r="A9" s="120"/>
      <c r="B9" s="121"/>
      <c r="C9" s="121"/>
      <c r="D9" s="122"/>
      <c r="E9" s="114"/>
      <c r="F9" s="115"/>
      <c r="G9" s="115"/>
      <c r="H9" s="116"/>
    </row>
    <row r="10" spans="1:8">
      <c r="A10" s="120"/>
      <c r="B10" s="121"/>
      <c r="C10" s="121"/>
      <c r="D10" s="122"/>
      <c r="E10" s="114"/>
      <c r="F10" s="115"/>
      <c r="G10" s="115"/>
      <c r="H10" s="116"/>
    </row>
    <row r="11" spans="1:8">
      <c r="A11" s="120"/>
      <c r="B11" s="121"/>
      <c r="C11" s="121"/>
      <c r="D11" s="122"/>
      <c r="E11" s="114"/>
      <c r="F11" s="115"/>
      <c r="G11" s="115"/>
      <c r="H11" s="116"/>
    </row>
    <row r="12" spans="1:8">
      <c r="A12" s="120"/>
      <c r="B12" s="121"/>
      <c r="C12" s="121"/>
      <c r="D12" s="122"/>
      <c r="E12" s="114"/>
      <c r="F12" s="115"/>
      <c r="G12" s="115"/>
      <c r="H12" s="116"/>
    </row>
    <row r="13" spans="1:8">
      <c r="A13" s="120"/>
      <c r="B13" s="121"/>
      <c r="C13" s="121"/>
      <c r="D13" s="122"/>
      <c r="E13" s="114"/>
      <c r="F13" s="115"/>
      <c r="G13" s="115"/>
      <c r="H13" s="116"/>
    </row>
    <row r="14" spans="1:8">
      <c r="A14" s="120"/>
      <c r="B14" s="121"/>
      <c r="C14" s="121"/>
      <c r="D14" s="122"/>
      <c r="E14" s="114"/>
      <c r="F14" s="115"/>
      <c r="G14" s="115"/>
      <c r="H14" s="116"/>
    </row>
    <row r="15" spans="1:8">
      <c r="A15" s="120"/>
      <c r="B15" s="121"/>
      <c r="C15" s="121"/>
      <c r="D15" s="122"/>
      <c r="E15" s="114"/>
      <c r="F15" s="115"/>
      <c r="G15" s="115"/>
      <c r="H15" s="116"/>
    </row>
    <row r="16" spans="1:8">
      <c r="A16" s="120"/>
      <c r="B16" s="121"/>
      <c r="C16" s="121"/>
      <c r="D16" s="122"/>
      <c r="E16" s="114"/>
      <c r="F16" s="115"/>
      <c r="G16" s="115"/>
      <c r="H16" s="116"/>
    </row>
    <row r="17" spans="1:8">
      <c r="A17" s="120"/>
      <c r="B17" s="121"/>
      <c r="C17" s="121"/>
      <c r="D17" s="122"/>
      <c r="E17" s="114"/>
      <c r="F17" s="115"/>
      <c r="G17" s="115"/>
      <c r="H17" s="116"/>
    </row>
    <row r="18" spans="1:8">
      <c r="A18" s="120"/>
      <c r="B18" s="121"/>
      <c r="C18" s="121"/>
      <c r="D18" s="122"/>
      <c r="E18" s="114"/>
      <c r="F18" s="115"/>
      <c r="G18" s="115"/>
      <c r="H18" s="116"/>
    </row>
    <row r="19" spans="1:8" ht="15" thickBot="1">
      <c r="A19" s="123"/>
      <c r="B19" s="124"/>
      <c r="C19" s="124"/>
      <c r="D19" s="125"/>
      <c r="E19" s="117"/>
      <c r="F19" s="118"/>
      <c r="G19" s="118"/>
      <c r="H19" s="119"/>
    </row>
    <row r="21" spans="1:8">
      <c r="A21" t="s">
        <v>31</v>
      </c>
    </row>
    <row r="23" spans="1:8">
      <c r="A23" s="127" t="s">
        <v>32</v>
      </c>
      <c r="B23" s="127"/>
      <c r="C23" s="126" t="s">
        <v>33</v>
      </c>
      <c r="D23" s="126"/>
      <c r="E23" s="126"/>
      <c r="F23" s="126"/>
      <c r="G23" s="126"/>
      <c r="H23" s="126"/>
    </row>
    <row r="24" spans="1:8">
      <c r="A24" s="127" t="s">
        <v>34</v>
      </c>
      <c r="B24" s="127"/>
      <c r="C24" s="126" t="s">
        <v>35</v>
      </c>
      <c r="D24" s="126"/>
      <c r="E24" s="126"/>
      <c r="F24" s="126"/>
      <c r="G24" s="126"/>
      <c r="H24" s="126"/>
    </row>
    <row r="25" spans="1:8">
      <c r="A25" s="127" t="s">
        <v>36</v>
      </c>
      <c r="B25" s="127"/>
      <c r="C25" s="126"/>
      <c r="D25" s="126"/>
      <c r="E25" s="126"/>
      <c r="F25" s="126"/>
      <c r="G25" s="126"/>
      <c r="H25" s="126"/>
    </row>
    <row r="26" spans="1:8">
      <c r="A26" s="127" t="s">
        <v>37</v>
      </c>
      <c r="B26" s="127"/>
      <c r="C26" s="126" t="s">
        <v>38</v>
      </c>
      <c r="D26" s="126"/>
      <c r="E26" s="126"/>
      <c r="F26" s="126"/>
      <c r="G26" s="126"/>
      <c r="H26" s="126"/>
    </row>
    <row r="27" spans="1:8">
      <c r="A27" s="127" t="s">
        <v>39</v>
      </c>
      <c r="B27" s="127"/>
      <c r="C27" s="129">
        <v>46122</v>
      </c>
      <c r="D27" s="129"/>
      <c r="E27" s="129"/>
      <c r="F27" s="129"/>
      <c r="G27" s="129"/>
      <c r="H27" s="129"/>
    </row>
    <row r="29" spans="1:8">
      <c r="A29" s="128" t="s">
        <v>40</v>
      </c>
      <c r="B29" s="128"/>
      <c r="C29" s="128"/>
      <c r="D29" s="128"/>
      <c r="E29" s="128"/>
      <c r="F29" s="128"/>
      <c r="G29" s="128"/>
      <c r="H29" s="128"/>
    </row>
    <row r="30" spans="1:8">
      <c r="A30" s="128"/>
      <c r="B30" s="128"/>
      <c r="C30" s="128"/>
      <c r="D30" s="128"/>
      <c r="E30" s="128"/>
      <c r="F30" s="128"/>
      <c r="G30" s="128"/>
      <c r="H30" s="128"/>
    </row>
    <row r="32" spans="1:8">
      <c r="A32" s="127" t="s">
        <v>41</v>
      </c>
      <c r="B32" s="127"/>
      <c r="C32" s="127" t="s">
        <v>42</v>
      </c>
      <c r="D32" s="127"/>
      <c r="E32" s="127"/>
      <c r="F32" s="127"/>
      <c r="G32" s="127" t="s">
        <v>43</v>
      </c>
      <c r="H32" s="127"/>
    </row>
    <row r="33" spans="1:8">
      <c r="A33" s="126">
        <v>1</v>
      </c>
      <c r="B33" s="126"/>
      <c r="C33" s="126" t="s">
        <v>56</v>
      </c>
      <c r="D33" s="126"/>
      <c r="E33" s="126"/>
      <c r="F33" s="126"/>
      <c r="G33" s="130">
        <v>6500</v>
      </c>
      <c r="H33" s="130"/>
    </row>
    <row r="34" spans="1:8">
      <c r="A34" s="149">
        <v>1</v>
      </c>
      <c r="B34" s="149"/>
      <c r="C34" s="149" t="s">
        <v>57</v>
      </c>
      <c r="D34" s="149"/>
      <c r="E34" s="149"/>
      <c r="F34" s="149"/>
      <c r="G34" s="150">
        <v>1200</v>
      </c>
      <c r="H34" s="150"/>
    </row>
    <row r="35" spans="1:8">
      <c r="A35" s="151">
        <v>1</v>
      </c>
      <c r="B35" s="152"/>
      <c r="C35" s="153" t="s">
        <v>58</v>
      </c>
      <c r="D35" s="154"/>
      <c r="E35" s="154"/>
      <c r="F35" s="152"/>
      <c r="G35" s="155">
        <v>6875</v>
      </c>
      <c r="H35" s="156"/>
    </row>
    <row r="36" spans="1:8">
      <c r="A36" s="144"/>
      <c r="B36" s="145"/>
      <c r="C36" s="146" t="s">
        <v>59</v>
      </c>
      <c r="D36" s="133"/>
      <c r="E36" s="133"/>
      <c r="F36" s="145"/>
      <c r="G36" s="147"/>
      <c r="H36" s="148"/>
    </row>
    <row r="37" spans="1:8">
      <c r="A37" s="144"/>
      <c r="B37" s="145"/>
      <c r="C37" s="144" t="s">
        <v>60</v>
      </c>
      <c r="D37" s="133"/>
      <c r="E37" s="133"/>
      <c r="F37" s="145"/>
      <c r="G37" s="147"/>
      <c r="H37" s="148"/>
    </row>
    <row r="38" spans="1:8">
      <c r="A38" s="137"/>
      <c r="B38" s="138"/>
      <c r="C38" s="137" t="s">
        <v>61</v>
      </c>
      <c r="D38" s="139"/>
      <c r="E38" s="139"/>
      <c r="F38" s="138"/>
      <c r="G38" s="140"/>
      <c r="H38" s="141"/>
    </row>
    <row r="39" spans="1:8">
      <c r="A39" s="142"/>
      <c r="B39" s="142"/>
      <c r="C39" s="142"/>
      <c r="D39" s="142"/>
      <c r="E39" s="142"/>
      <c r="F39" s="142"/>
      <c r="G39" s="143"/>
      <c r="H39" s="143"/>
    </row>
    <row r="40" spans="1:8">
      <c r="G40" s="4"/>
      <c r="H40" s="4"/>
    </row>
    <row r="41" spans="1:8">
      <c r="F41" t="s">
        <v>28</v>
      </c>
      <c r="G41" s="132">
        <f>SUM(G33:H39)</f>
        <v>14575</v>
      </c>
      <c r="H41" s="132"/>
    </row>
    <row r="42" spans="1:8">
      <c r="A42" s="133" t="s">
        <v>49</v>
      </c>
      <c r="B42" s="133"/>
      <c r="C42" s="133"/>
      <c r="D42" s="133"/>
      <c r="F42" t="s">
        <v>50</v>
      </c>
      <c r="G42" s="132">
        <f>G41*0.16</f>
        <v>2332</v>
      </c>
      <c r="H42" s="132"/>
    </row>
    <row r="43" spans="1:8">
      <c r="A43" s="133" t="s">
        <v>51</v>
      </c>
      <c r="B43" s="133"/>
      <c r="C43" s="133"/>
      <c r="D43" s="133"/>
      <c r="F43" t="s">
        <v>52</v>
      </c>
      <c r="G43" s="136">
        <v>17.359300000000001</v>
      </c>
      <c r="H43" s="136"/>
    </row>
    <row r="44" spans="1:8">
      <c r="F44" t="s">
        <v>53</v>
      </c>
      <c r="G44" s="132">
        <f>(G41+G42)*G43</f>
        <v>293493.6851</v>
      </c>
      <c r="H44" s="132"/>
    </row>
    <row r="45" spans="1:8">
      <c r="G45" s="51"/>
      <c r="H45" s="51"/>
    </row>
    <row r="46" spans="1:8">
      <c r="G46" s="51"/>
      <c r="H46" s="51"/>
    </row>
    <row r="48" spans="1:8">
      <c r="A48" s="127" t="s">
        <v>54</v>
      </c>
      <c r="B48" s="127"/>
      <c r="C48" s="127"/>
      <c r="D48" s="127"/>
      <c r="E48" s="127"/>
      <c r="F48" s="127"/>
      <c r="G48" s="127"/>
      <c r="H48" s="127"/>
    </row>
    <row r="49" spans="1:8">
      <c r="A49" s="134" t="s">
        <v>55</v>
      </c>
      <c r="B49" s="134"/>
      <c r="C49" s="134"/>
      <c r="D49" s="134"/>
      <c r="E49" s="134"/>
      <c r="F49" s="134"/>
      <c r="G49" s="134"/>
      <c r="H49" s="134"/>
    </row>
    <row r="50" spans="1:8">
      <c r="A50" s="135"/>
      <c r="B50" s="135"/>
      <c r="C50" s="135"/>
      <c r="D50" s="135"/>
      <c r="E50" s="135"/>
      <c r="F50" s="135"/>
      <c r="G50" s="135"/>
      <c r="H50" s="135"/>
    </row>
    <row r="51" spans="1:8">
      <c r="A51" s="135"/>
      <c r="B51" s="135"/>
      <c r="C51" s="135"/>
      <c r="D51" s="135"/>
      <c r="E51" s="135"/>
      <c r="F51" s="135"/>
      <c r="G51" s="135"/>
      <c r="H51" s="135"/>
    </row>
    <row r="53" spans="1:8">
      <c r="C53" s="133"/>
      <c r="D53" s="133"/>
      <c r="E53" s="133"/>
      <c r="F53" s="133"/>
    </row>
  </sheetData>
  <mergeCells count="46">
    <mergeCell ref="E1:H19"/>
    <mergeCell ref="A7:D19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9:H30"/>
    <mergeCell ref="A32:B32"/>
    <mergeCell ref="C32:F32"/>
    <mergeCell ref="G32:H32"/>
    <mergeCell ref="A33:B33"/>
    <mergeCell ref="C33:F33"/>
    <mergeCell ref="G33:H33"/>
    <mergeCell ref="A34:B34"/>
    <mergeCell ref="C34:F34"/>
    <mergeCell ref="G34:H34"/>
    <mergeCell ref="A35:B35"/>
    <mergeCell ref="C35:F35"/>
    <mergeCell ref="G35:H35"/>
    <mergeCell ref="A36:B36"/>
    <mergeCell ref="C36:F36"/>
    <mergeCell ref="G36:H36"/>
    <mergeCell ref="A37:B37"/>
    <mergeCell ref="C37:F37"/>
    <mergeCell ref="G37:H37"/>
    <mergeCell ref="A38:B38"/>
    <mergeCell ref="C38:F38"/>
    <mergeCell ref="G38:H38"/>
    <mergeCell ref="A39:B39"/>
    <mergeCell ref="C39:F39"/>
    <mergeCell ref="G39:H39"/>
    <mergeCell ref="C53:F53"/>
    <mergeCell ref="A42:D42"/>
    <mergeCell ref="A43:D43"/>
    <mergeCell ref="G41:H41"/>
    <mergeCell ref="G42:H42"/>
    <mergeCell ref="G43:H43"/>
    <mergeCell ref="G44:H44"/>
    <mergeCell ref="A48:H48"/>
    <mergeCell ref="A49:H51"/>
  </mergeCells>
  <pageMargins left="0.94972222222222213" right="0.21527777777777779" top="1.1781250000000001" bottom="0.75" header="0.3" footer="0.3"/>
  <pageSetup paperSize="9" scale="87" orientation="portrait" r:id="rId1"/>
  <headerFooter>
    <oddHeader>&amp;LCOTIZACION&amp;CUNIVERSAL MAQUINAS Y HERRAMIENTAS&amp;RSERVICIO TECNICO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503E-64C9-4053-AC07-7B57D0CC13E0}">
  <dimension ref="A1:H53"/>
  <sheetViews>
    <sheetView showGridLines="0" view="pageLayout" zoomScaleNormal="100" workbookViewId="0">
      <selection activeCell="C45" sqref="C45"/>
    </sheetView>
  </sheetViews>
  <sheetFormatPr defaultColWidth="11.42578125" defaultRowHeight="14.45"/>
  <cols>
    <col min="7" max="7" width="11.42578125" customWidth="1"/>
  </cols>
  <sheetData>
    <row r="1" spans="1:8" ht="14.45" customHeight="1">
      <c r="A1" s="44"/>
      <c r="B1" s="43"/>
      <c r="C1" s="43"/>
      <c r="D1" s="42"/>
      <c r="E1" s="111" t="s">
        <v>29</v>
      </c>
      <c r="F1" s="112"/>
      <c r="G1" s="112"/>
      <c r="H1" s="113"/>
    </row>
    <row r="2" spans="1:8">
      <c r="A2" s="41"/>
      <c r="B2" s="40"/>
      <c r="C2" s="40"/>
      <c r="D2" s="39"/>
      <c r="E2" s="114"/>
      <c r="F2" s="115"/>
      <c r="G2" s="115"/>
      <c r="H2" s="116"/>
    </row>
    <row r="3" spans="1:8">
      <c r="A3" s="41"/>
      <c r="B3" s="40"/>
      <c r="C3" s="40"/>
      <c r="D3" s="39"/>
      <c r="E3" s="114"/>
      <c r="F3" s="115"/>
      <c r="G3" s="115"/>
      <c r="H3" s="116"/>
    </row>
    <row r="4" spans="1:8">
      <c r="A4" s="41"/>
      <c r="B4" s="40"/>
      <c r="C4" s="40"/>
      <c r="D4" s="39"/>
      <c r="E4" s="114"/>
      <c r="F4" s="115"/>
      <c r="G4" s="115"/>
      <c r="H4" s="116"/>
    </row>
    <row r="5" spans="1:8">
      <c r="A5" s="41"/>
      <c r="B5" s="40"/>
      <c r="C5" s="40"/>
      <c r="D5" s="39"/>
      <c r="E5" s="114"/>
      <c r="F5" s="115"/>
      <c r="G5" s="115"/>
      <c r="H5" s="116"/>
    </row>
    <row r="6" spans="1:8">
      <c r="A6" s="41"/>
      <c r="B6" s="40"/>
      <c r="C6" s="40"/>
      <c r="D6" s="39"/>
      <c r="E6" s="114"/>
      <c r="F6" s="115"/>
      <c r="G6" s="115"/>
      <c r="H6" s="116"/>
    </row>
    <row r="7" spans="1:8">
      <c r="A7" s="120" t="s">
        <v>30</v>
      </c>
      <c r="B7" s="121"/>
      <c r="C7" s="121"/>
      <c r="D7" s="122"/>
      <c r="E7" s="114"/>
      <c r="F7" s="115"/>
      <c r="G7" s="115"/>
      <c r="H7" s="116"/>
    </row>
    <row r="8" spans="1:8">
      <c r="A8" s="120"/>
      <c r="B8" s="121"/>
      <c r="C8" s="121"/>
      <c r="D8" s="122"/>
      <c r="E8" s="114"/>
      <c r="F8" s="115"/>
      <c r="G8" s="115"/>
      <c r="H8" s="116"/>
    </row>
    <row r="9" spans="1:8">
      <c r="A9" s="120"/>
      <c r="B9" s="121"/>
      <c r="C9" s="121"/>
      <c r="D9" s="122"/>
      <c r="E9" s="114"/>
      <c r="F9" s="115"/>
      <c r="G9" s="115"/>
      <c r="H9" s="116"/>
    </row>
    <row r="10" spans="1:8">
      <c r="A10" s="120"/>
      <c r="B10" s="121"/>
      <c r="C10" s="121"/>
      <c r="D10" s="122"/>
      <c r="E10" s="114"/>
      <c r="F10" s="115"/>
      <c r="G10" s="115"/>
      <c r="H10" s="116"/>
    </row>
    <row r="11" spans="1:8">
      <c r="A11" s="120"/>
      <c r="B11" s="121"/>
      <c r="C11" s="121"/>
      <c r="D11" s="122"/>
      <c r="E11" s="114"/>
      <c r="F11" s="115"/>
      <c r="G11" s="115"/>
      <c r="H11" s="116"/>
    </row>
    <row r="12" spans="1:8">
      <c r="A12" s="120"/>
      <c r="B12" s="121"/>
      <c r="C12" s="121"/>
      <c r="D12" s="122"/>
      <c r="E12" s="114"/>
      <c r="F12" s="115"/>
      <c r="G12" s="115"/>
      <c r="H12" s="116"/>
    </row>
    <row r="13" spans="1:8">
      <c r="A13" s="120"/>
      <c r="B13" s="121"/>
      <c r="C13" s="121"/>
      <c r="D13" s="122"/>
      <c r="E13" s="114"/>
      <c r="F13" s="115"/>
      <c r="G13" s="115"/>
      <c r="H13" s="116"/>
    </row>
    <row r="14" spans="1:8">
      <c r="A14" s="120"/>
      <c r="B14" s="121"/>
      <c r="C14" s="121"/>
      <c r="D14" s="122"/>
      <c r="E14" s="114"/>
      <c r="F14" s="115"/>
      <c r="G14" s="115"/>
      <c r="H14" s="116"/>
    </row>
    <row r="15" spans="1:8">
      <c r="A15" s="120"/>
      <c r="B15" s="121"/>
      <c r="C15" s="121"/>
      <c r="D15" s="122"/>
      <c r="E15" s="114"/>
      <c r="F15" s="115"/>
      <c r="G15" s="115"/>
      <c r="H15" s="116"/>
    </row>
    <row r="16" spans="1:8">
      <c r="A16" s="120"/>
      <c r="B16" s="121"/>
      <c r="C16" s="121"/>
      <c r="D16" s="122"/>
      <c r="E16" s="114"/>
      <c r="F16" s="115"/>
      <c r="G16" s="115"/>
      <c r="H16" s="116"/>
    </row>
    <row r="17" spans="1:8">
      <c r="A17" s="120"/>
      <c r="B17" s="121"/>
      <c r="C17" s="121"/>
      <c r="D17" s="122"/>
      <c r="E17" s="114"/>
      <c r="F17" s="115"/>
      <c r="G17" s="115"/>
      <c r="H17" s="116"/>
    </row>
    <row r="18" spans="1:8">
      <c r="A18" s="120"/>
      <c r="B18" s="121"/>
      <c r="C18" s="121"/>
      <c r="D18" s="122"/>
      <c r="E18" s="114"/>
      <c r="F18" s="115"/>
      <c r="G18" s="115"/>
      <c r="H18" s="116"/>
    </row>
    <row r="19" spans="1:8" ht="15" thickBot="1">
      <c r="A19" s="123"/>
      <c r="B19" s="124"/>
      <c r="C19" s="124"/>
      <c r="D19" s="125"/>
      <c r="E19" s="117"/>
      <c r="F19" s="118"/>
      <c r="G19" s="118"/>
      <c r="H19" s="119"/>
    </row>
    <row r="21" spans="1:8">
      <c r="A21" t="s">
        <v>31</v>
      </c>
    </row>
    <row r="23" spans="1:8">
      <c r="A23" s="127" t="s">
        <v>32</v>
      </c>
      <c r="B23" s="127"/>
      <c r="C23" s="126"/>
      <c r="D23" s="126"/>
      <c r="E23" s="126"/>
      <c r="F23" s="126"/>
      <c r="G23" s="126"/>
      <c r="H23" s="126"/>
    </row>
    <row r="24" spans="1:8">
      <c r="A24" s="127" t="s">
        <v>34</v>
      </c>
      <c r="B24" s="127"/>
      <c r="C24" s="126"/>
      <c r="D24" s="126"/>
      <c r="E24" s="126"/>
      <c r="F24" s="126"/>
      <c r="G24" s="126"/>
      <c r="H24" s="126"/>
    </row>
    <row r="25" spans="1:8">
      <c r="A25" s="127" t="s">
        <v>36</v>
      </c>
      <c r="B25" s="127"/>
      <c r="C25" s="126"/>
      <c r="D25" s="126"/>
      <c r="E25" s="126"/>
      <c r="F25" s="126"/>
      <c r="G25" s="126"/>
      <c r="H25" s="126"/>
    </row>
    <row r="26" spans="1:8">
      <c r="A26" s="127" t="s">
        <v>37</v>
      </c>
      <c r="B26" s="127"/>
      <c r="C26" s="126"/>
      <c r="D26" s="126"/>
      <c r="E26" s="126"/>
      <c r="F26" s="126"/>
      <c r="G26" s="126"/>
      <c r="H26" s="126"/>
    </row>
    <row r="27" spans="1:8">
      <c r="A27" s="127" t="s">
        <v>39</v>
      </c>
      <c r="B27" s="127"/>
      <c r="C27" s="129"/>
      <c r="D27" s="129"/>
      <c r="E27" s="129"/>
      <c r="F27" s="129"/>
      <c r="G27" s="129"/>
      <c r="H27" s="129"/>
    </row>
    <row r="29" spans="1:8">
      <c r="A29" s="128"/>
      <c r="B29" s="128"/>
      <c r="C29" s="128"/>
      <c r="D29" s="128"/>
      <c r="E29" s="128"/>
      <c r="F29" s="128"/>
      <c r="G29" s="128"/>
      <c r="H29" s="128"/>
    </row>
    <row r="30" spans="1:8">
      <c r="A30" s="128"/>
      <c r="B30" s="128"/>
      <c r="C30" s="128"/>
      <c r="D30" s="128"/>
      <c r="E30" s="128"/>
      <c r="F30" s="128"/>
      <c r="G30" s="128"/>
      <c r="H30" s="128"/>
    </row>
    <row r="32" spans="1:8">
      <c r="A32" s="127" t="s">
        <v>41</v>
      </c>
      <c r="B32" s="127"/>
      <c r="C32" s="127" t="s">
        <v>42</v>
      </c>
      <c r="D32" s="127"/>
      <c r="E32" s="127"/>
      <c r="F32" s="127"/>
      <c r="G32" s="127" t="s">
        <v>43</v>
      </c>
      <c r="H32" s="127"/>
    </row>
    <row r="33" spans="1:8">
      <c r="A33" s="126"/>
      <c r="B33" s="126"/>
      <c r="C33" s="126"/>
      <c r="D33" s="126"/>
      <c r="E33" s="126"/>
      <c r="F33" s="126"/>
      <c r="G33" s="130"/>
      <c r="H33" s="130"/>
    </row>
    <row r="34" spans="1:8">
      <c r="A34" s="126"/>
      <c r="B34" s="126"/>
      <c r="C34" s="126"/>
      <c r="D34" s="126"/>
      <c r="E34" s="126"/>
      <c r="F34" s="126"/>
      <c r="G34" s="130"/>
      <c r="H34" s="130"/>
    </row>
    <row r="35" spans="1:8">
      <c r="A35" s="126"/>
      <c r="B35" s="126"/>
      <c r="C35" s="131"/>
      <c r="D35" s="126"/>
      <c r="E35" s="126"/>
      <c r="F35" s="126"/>
      <c r="G35" s="130"/>
      <c r="H35" s="130"/>
    </row>
    <row r="36" spans="1:8">
      <c r="A36" s="126"/>
      <c r="B36" s="126"/>
      <c r="C36" s="157"/>
      <c r="D36" s="157"/>
      <c r="E36" s="157"/>
      <c r="F36" s="157"/>
      <c r="G36" s="130"/>
      <c r="H36" s="130"/>
    </row>
    <row r="37" spans="1:8">
      <c r="A37" s="126"/>
      <c r="B37" s="126"/>
      <c r="C37" s="126"/>
      <c r="D37" s="126"/>
      <c r="E37" s="126"/>
      <c r="F37" s="126"/>
      <c r="G37" s="130"/>
      <c r="H37" s="130"/>
    </row>
    <row r="38" spans="1:8">
      <c r="A38" s="126"/>
      <c r="B38" s="126"/>
      <c r="C38" s="126"/>
      <c r="D38" s="126"/>
      <c r="E38" s="126"/>
      <c r="F38" s="126"/>
      <c r="G38" s="130"/>
      <c r="H38" s="130"/>
    </row>
    <row r="39" spans="1:8">
      <c r="A39" s="126"/>
      <c r="B39" s="126"/>
      <c r="C39" s="126"/>
      <c r="D39" s="126"/>
      <c r="E39" s="126"/>
      <c r="F39" s="126"/>
      <c r="G39" s="130"/>
      <c r="H39" s="130"/>
    </row>
    <row r="40" spans="1:8">
      <c r="G40" s="4"/>
      <c r="H40" s="4"/>
    </row>
    <row r="41" spans="1:8">
      <c r="F41" t="s">
        <v>28</v>
      </c>
      <c r="G41" s="132">
        <f>SUM(G33:H39)</f>
        <v>0</v>
      </c>
      <c r="H41" s="132"/>
    </row>
    <row r="42" spans="1:8">
      <c r="F42" t="s">
        <v>50</v>
      </c>
      <c r="G42" s="132">
        <f>G41*0.16</f>
        <v>0</v>
      </c>
      <c r="H42" s="132"/>
    </row>
    <row r="43" spans="1:8">
      <c r="F43" t="s">
        <v>53</v>
      </c>
      <c r="G43" s="132">
        <f>(G41+G42)</f>
        <v>0</v>
      </c>
      <c r="H43" s="132"/>
    </row>
    <row r="45" spans="1:8">
      <c r="G45" s="51"/>
      <c r="H45" s="51"/>
    </row>
    <row r="46" spans="1:8">
      <c r="G46" s="51"/>
      <c r="H46" s="51"/>
    </row>
    <row r="48" spans="1:8">
      <c r="A48" s="127" t="s">
        <v>54</v>
      </c>
      <c r="B48" s="127"/>
      <c r="C48" s="127"/>
      <c r="D48" s="127"/>
      <c r="E48" s="127"/>
      <c r="F48" s="127"/>
      <c r="G48" s="127"/>
      <c r="H48" s="127"/>
    </row>
    <row r="49" spans="1:8">
      <c r="A49" s="134" t="s">
        <v>55</v>
      </c>
      <c r="B49" s="134"/>
      <c r="C49" s="134"/>
      <c r="D49" s="134"/>
      <c r="E49" s="134"/>
      <c r="F49" s="134"/>
      <c r="G49" s="134"/>
      <c r="H49" s="134"/>
    </row>
    <row r="50" spans="1:8">
      <c r="A50" s="135"/>
      <c r="B50" s="135"/>
      <c r="C50" s="135"/>
      <c r="D50" s="135"/>
      <c r="E50" s="135"/>
      <c r="F50" s="135"/>
      <c r="G50" s="135"/>
      <c r="H50" s="135"/>
    </row>
    <row r="51" spans="1:8">
      <c r="A51" s="135"/>
      <c r="B51" s="135"/>
      <c r="C51" s="135"/>
      <c r="D51" s="135"/>
      <c r="E51" s="135"/>
      <c r="F51" s="135"/>
      <c r="G51" s="135"/>
      <c r="H51" s="135"/>
    </row>
    <row r="53" spans="1:8">
      <c r="C53" s="133"/>
      <c r="D53" s="133"/>
      <c r="E53" s="133"/>
      <c r="F53" s="133"/>
    </row>
  </sheetData>
  <mergeCells count="43">
    <mergeCell ref="E1:H19"/>
    <mergeCell ref="A7:D19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9:H30"/>
    <mergeCell ref="A32:B32"/>
    <mergeCell ref="C32:F32"/>
    <mergeCell ref="G32:H32"/>
    <mergeCell ref="A33:B33"/>
    <mergeCell ref="C33:F33"/>
    <mergeCell ref="G33:H33"/>
    <mergeCell ref="A34:B34"/>
    <mergeCell ref="C34:F34"/>
    <mergeCell ref="G34:H34"/>
    <mergeCell ref="A35:B35"/>
    <mergeCell ref="C35:F35"/>
    <mergeCell ref="G35:H35"/>
    <mergeCell ref="A36:B36"/>
    <mergeCell ref="C36:F36"/>
    <mergeCell ref="G36:H36"/>
    <mergeCell ref="A37:B37"/>
    <mergeCell ref="C37:F37"/>
    <mergeCell ref="G37:H37"/>
    <mergeCell ref="A38:B38"/>
    <mergeCell ref="C38:F38"/>
    <mergeCell ref="G38:H38"/>
    <mergeCell ref="A39:B39"/>
    <mergeCell ref="C39:F39"/>
    <mergeCell ref="G39:H39"/>
    <mergeCell ref="C53:F53"/>
    <mergeCell ref="G41:H41"/>
    <mergeCell ref="G42:H42"/>
    <mergeCell ref="G43:H43"/>
    <mergeCell ref="A48:H48"/>
    <mergeCell ref="A49:H51"/>
  </mergeCells>
  <pageMargins left="0.94972222222222213" right="0.21527777777777779" top="1.1781250000000001" bottom="0.75" header="0.3" footer="0.3"/>
  <pageSetup paperSize="9" scale="87" orientation="portrait" r:id="rId1"/>
  <headerFooter>
    <oddHeader>&amp;LCOTIZACION&amp;CUNIVERSAL MAQUINAS Y HERRAMIENTAS&amp;RSERVICIO TECNICO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F7AB-7AE9-48FC-8C94-D1A5112C4CDE}">
  <sheetPr codeName="Hoja4" filterMode="1"/>
  <dimension ref="A1:O71"/>
  <sheetViews>
    <sheetView showGridLines="0" tabSelected="1" zoomScaleNormal="100" workbookViewId="0">
      <selection activeCell="G76" sqref="G76"/>
    </sheetView>
  </sheetViews>
  <sheetFormatPr defaultColWidth="11.42578125" defaultRowHeight="14.45"/>
  <cols>
    <col min="1" max="1" width="38.42578125" bestFit="1" customWidth="1"/>
    <col min="2" max="2" width="20.42578125" bestFit="1" customWidth="1"/>
    <col min="3" max="3" width="30" bestFit="1" customWidth="1"/>
    <col min="4" max="4" width="14.85546875" style="17" hidden="1" customWidth="1"/>
    <col min="5" max="5" width="25.85546875" bestFit="1" customWidth="1"/>
    <col min="6" max="6" width="16.7109375" style="2" hidden="1" customWidth="1"/>
    <col min="7" max="7" width="28.42578125" bestFit="1" customWidth="1"/>
    <col min="8" max="9" width="29.42578125" style="35" bestFit="1" customWidth="1"/>
    <col min="10" max="10" width="56.5703125" bestFit="1" customWidth="1"/>
    <col min="11" max="11" width="21" bestFit="1" customWidth="1"/>
    <col min="12" max="12" width="21.140625" bestFit="1" customWidth="1"/>
    <col min="13" max="13" width="21.140625" customWidth="1"/>
    <col min="14" max="14" width="13.140625" bestFit="1" customWidth="1"/>
    <col min="15" max="15" width="74.85546875" customWidth="1"/>
  </cols>
  <sheetData>
    <row r="1" spans="1:15" s="1" customFormat="1" ht="15.6">
      <c r="A1" s="52" t="s">
        <v>34</v>
      </c>
      <c r="B1" s="52" t="s">
        <v>32</v>
      </c>
      <c r="C1" s="52" t="s">
        <v>62</v>
      </c>
      <c r="D1" s="52" t="s">
        <v>63</v>
      </c>
      <c r="E1" s="52" t="s">
        <v>36</v>
      </c>
      <c r="F1" s="52" t="s">
        <v>64</v>
      </c>
      <c r="G1" s="52" t="s">
        <v>65</v>
      </c>
      <c r="H1" s="53" t="s">
        <v>66</v>
      </c>
      <c r="I1" s="53" t="s">
        <v>67</v>
      </c>
      <c r="J1" s="52" t="s">
        <v>68</v>
      </c>
      <c r="K1" s="52" t="s">
        <v>69</v>
      </c>
      <c r="L1" s="52" t="s">
        <v>70</v>
      </c>
      <c r="M1" s="52" t="s">
        <v>71</v>
      </c>
      <c r="N1" s="52" t="s">
        <v>72</v>
      </c>
      <c r="O1" s="52" t="s">
        <v>73</v>
      </c>
    </row>
    <row r="2" spans="1:15" hidden="1">
      <c r="A2" s="5" t="s">
        <v>74</v>
      </c>
      <c r="B2" s="5" t="s">
        <v>75</v>
      </c>
      <c r="C2" s="5" t="s">
        <v>76</v>
      </c>
      <c r="D2" s="5"/>
      <c r="E2" s="5"/>
      <c r="F2" s="7">
        <v>8777880256</v>
      </c>
      <c r="G2" s="5" t="s">
        <v>77</v>
      </c>
      <c r="H2" s="9">
        <v>46058</v>
      </c>
      <c r="I2" s="9">
        <v>46063</v>
      </c>
      <c r="J2" s="5" t="s">
        <v>78</v>
      </c>
      <c r="K2" s="5" t="s">
        <v>79</v>
      </c>
      <c r="L2" s="5" t="s">
        <v>80</v>
      </c>
      <c r="M2" s="5"/>
      <c r="N2" s="5" t="s">
        <v>81</v>
      </c>
    </row>
    <row r="3" spans="1:15" hidden="1">
      <c r="A3" s="5" t="s">
        <v>82</v>
      </c>
      <c r="B3" s="5" t="s">
        <v>83</v>
      </c>
      <c r="C3" s="5" t="s">
        <v>84</v>
      </c>
      <c r="D3" s="5"/>
      <c r="E3" s="5" t="s">
        <v>85</v>
      </c>
      <c r="F3" s="7">
        <v>8112502995</v>
      </c>
      <c r="G3" s="5" t="s">
        <v>86</v>
      </c>
      <c r="H3" s="8">
        <v>46058</v>
      </c>
      <c r="I3" s="9">
        <v>46063</v>
      </c>
      <c r="J3" s="5" t="s">
        <v>87</v>
      </c>
      <c r="K3" s="5" t="s">
        <v>79</v>
      </c>
      <c r="L3" s="5" t="s">
        <v>80</v>
      </c>
      <c r="M3" s="5"/>
      <c r="N3" s="5" t="s">
        <v>81</v>
      </c>
    </row>
    <row r="4" spans="1:15" hidden="1">
      <c r="A4" s="5" t="s">
        <v>88</v>
      </c>
      <c r="B4" s="5" t="s">
        <v>89</v>
      </c>
      <c r="C4" s="5" t="s">
        <v>90</v>
      </c>
      <c r="D4" s="5"/>
      <c r="E4" s="5" t="s">
        <v>91</v>
      </c>
      <c r="F4" s="7">
        <v>8110156481</v>
      </c>
      <c r="G4" s="5" t="s">
        <v>86</v>
      </c>
      <c r="H4" s="8">
        <v>46052</v>
      </c>
      <c r="I4" s="9">
        <v>46064</v>
      </c>
      <c r="J4" s="5" t="s">
        <v>87</v>
      </c>
      <c r="K4" s="5" t="s">
        <v>79</v>
      </c>
      <c r="L4" s="5" t="s">
        <v>80</v>
      </c>
      <c r="M4" s="5"/>
      <c r="N4" s="5" t="s">
        <v>81</v>
      </c>
    </row>
    <row r="5" spans="1:15" hidden="1">
      <c r="A5" s="5" t="s">
        <v>92</v>
      </c>
      <c r="B5" s="5" t="s">
        <v>93</v>
      </c>
      <c r="C5" s="5" t="s">
        <v>94</v>
      </c>
      <c r="D5" s="5"/>
      <c r="E5" s="5" t="s">
        <v>95</v>
      </c>
      <c r="F5" s="7">
        <v>8116097871</v>
      </c>
      <c r="G5" s="5" t="s">
        <v>77</v>
      </c>
      <c r="H5" s="5"/>
      <c r="I5" s="9">
        <v>46064</v>
      </c>
      <c r="J5" s="5" t="s">
        <v>96</v>
      </c>
      <c r="K5" s="5" t="s">
        <v>79</v>
      </c>
      <c r="L5" s="5" t="s">
        <v>80</v>
      </c>
      <c r="M5" s="5"/>
      <c r="N5" s="5" t="s">
        <v>81</v>
      </c>
    </row>
    <row r="6" spans="1:15" hidden="1">
      <c r="A6" s="5" t="s">
        <v>97</v>
      </c>
      <c r="B6" s="5" t="s">
        <v>98</v>
      </c>
      <c r="C6" s="5" t="s">
        <v>99</v>
      </c>
      <c r="D6" s="5"/>
      <c r="E6" s="5" t="s">
        <v>100</v>
      </c>
      <c r="F6" s="7">
        <v>8120079894</v>
      </c>
      <c r="G6" s="5" t="s">
        <v>77</v>
      </c>
      <c r="H6" s="8">
        <v>46052</v>
      </c>
      <c r="I6" s="9">
        <v>46065</v>
      </c>
      <c r="J6" s="5" t="s">
        <v>101</v>
      </c>
      <c r="K6" s="5" t="s">
        <v>79</v>
      </c>
      <c r="L6" s="5" t="s">
        <v>102</v>
      </c>
      <c r="M6" s="5"/>
      <c r="N6" s="5" t="s">
        <v>81</v>
      </c>
    </row>
    <row r="7" spans="1:15" s="13" customFormat="1" hidden="1">
      <c r="A7" s="6" t="s">
        <v>103</v>
      </c>
      <c r="B7" s="6" t="s">
        <v>104</v>
      </c>
      <c r="C7" s="6" t="s">
        <v>105</v>
      </c>
      <c r="D7" s="6"/>
      <c r="E7" s="6" t="s">
        <v>106</v>
      </c>
      <c r="F7" s="11">
        <v>8140787891</v>
      </c>
      <c r="G7" s="6" t="s">
        <v>77</v>
      </c>
      <c r="H7" s="12">
        <v>46052</v>
      </c>
      <c r="I7" s="12">
        <v>46066</v>
      </c>
      <c r="J7" s="6" t="s">
        <v>107</v>
      </c>
      <c r="K7" s="6" t="s">
        <v>79</v>
      </c>
      <c r="L7" s="6" t="s">
        <v>102</v>
      </c>
      <c r="M7" s="6"/>
      <c r="N7" s="6" t="s">
        <v>81</v>
      </c>
    </row>
    <row r="8" spans="1:15" hidden="1">
      <c r="A8" s="5" t="s">
        <v>108</v>
      </c>
      <c r="B8" s="5" t="s">
        <v>109</v>
      </c>
      <c r="C8" s="5" t="s">
        <v>110</v>
      </c>
      <c r="D8" s="5"/>
      <c r="E8" s="5" t="s">
        <v>111</v>
      </c>
      <c r="F8" s="7">
        <v>8113126956</v>
      </c>
      <c r="G8" s="5" t="s">
        <v>77</v>
      </c>
      <c r="H8" s="8">
        <v>46051</v>
      </c>
      <c r="I8" s="9">
        <v>46069</v>
      </c>
      <c r="J8" s="5" t="s">
        <v>112</v>
      </c>
      <c r="K8" s="5" t="s">
        <v>79</v>
      </c>
      <c r="L8" s="5" t="s">
        <v>80</v>
      </c>
      <c r="M8" s="5"/>
      <c r="N8" s="5" t="s">
        <v>81</v>
      </c>
    </row>
    <row r="9" spans="1:15" hidden="1">
      <c r="A9" t="s">
        <v>113</v>
      </c>
      <c r="B9" t="s">
        <v>114</v>
      </c>
      <c r="C9" t="s">
        <v>115</v>
      </c>
      <c r="D9"/>
      <c r="E9" t="s">
        <v>116</v>
      </c>
      <c r="F9" s="2">
        <v>8112731162</v>
      </c>
      <c r="G9" t="s">
        <v>77</v>
      </c>
      <c r="H9" s="3">
        <v>46056</v>
      </c>
      <c r="I9" s="3">
        <v>46070</v>
      </c>
      <c r="J9" t="s">
        <v>117</v>
      </c>
      <c r="K9" t="s">
        <v>80</v>
      </c>
      <c r="N9" t="s">
        <v>81</v>
      </c>
    </row>
    <row r="10" spans="1:15" hidden="1">
      <c r="A10" t="s">
        <v>118</v>
      </c>
      <c r="B10" t="s">
        <v>75</v>
      </c>
      <c r="C10" t="s">
        <v>119</v>
      </c>
      <c r="D10"/>
      <c r="E10" t="s">
        <v>120</v>
      </c>
      <c r="F10" s="2">
        <v>8781331857</v>
      </c>
      <c r="G10" t="s">
        <v>86</v>
      </c>
      <c r="H10" s="3">
        <v>46066</v>
      </c>
      <c r="I10" s="3">
        <v>46086</v>
      </c>
      <c r="J10" t="s">
        <v>121</v>
      </c>
      <c r="K10" t="s">
        <v>122</v>
      </c>
      <c r="N10" t="s">
        <v>81</v>
      </c>
    </row>
    <row r="11" spans="1:15" hidden="1">
      <c r="A11" t="s">
        <v>123</v>
      </c>
      <c r="B11" t="s">
        <v>124</v>
      </c>
      <c r="C11" t="s">
        <v>125</v>
      </c>
      <c r="D11"/>
      <c r="E11" t="s">
        <v>126</v>
      </c>
      <c r="F11" s="2">
        <v>8677533904</v>
      </c>
      <c r="G11" t="s">
        <v>86</v>
      </c>
      <c r="H11" s="3">
        <v>46064</v>
      </c>
      <c r="I11" s="3">
        <v>46085</v>
      </c>
      <c r="J11" t="s">
        <v>121</v>
      </c>
      <c r="K11" t="s">
        <v>122</v>
      </c>
      <c r="N11" t="s">
        <v>81</v>
      </c>
    </row>
    <row r="12" spans="1:15" hidden="1">
      <c r="A12" t="s">
        <v>74</v>
      </c>
      <c r="B12" t="s">
        <v>75</v>
      </c>
      <c r="C12" t="s">
        <v>76</v>
      </c>
      <c r="D12"/>
      <c r="F12" s="2">
        <v>8777880256</v>
      </c>
      <c r="G12" t="s">
        <v>77</v>
      </c>
      <c r="H12" s="3">
        <v>46063</v>
      </c>
      <c r="I12" s="3">
        <v>46070</v>
      </c>
      <c r="J12" t="s">
        <v>127</v>
      </c>
      <c r="K12" t="s">
        <v>79</v>
      </c>
      <c r="L12" t="s">
        <v>128</v>
      </c>
      <c r="N12" t="s">
        <v>81</v>
      </c>
    </row>
    <row r="13" spans="1:15" s="5" customFormat="1" hidden="1">
      <c r="A13" s="5" t="s">
        <v>129</v>
      </c>
      <c r="C13" s="5" t="s">
        <v>105</v>
      </c>
      <c r="E13" s="5" t="s">
        <v>130</v>
      </c>
      <c r="F13" s="7">
        <v>8448696189</v>
      </c>
      <c r="G13" s="5" t="s">
        <v>77</v>
      </c>
      <c r="H13" s="9">
        <v>46058</v>
      </c>
      <c r="I13" s="9">
        <v>46071</v>
      </c>
      <c r="J13" s="5" t="s">
        <v>131</v>
      </c>
      <c r="K13" s="5" t="s">
        <v>80</v>
      </c>
      <c r="N13" s="5" t="s">
        <v>81</v>
      </c>
    </row>
    <row r="14" spans="1:15" hidden="1">
      <c r="A14" s="5" t="s">
        <v>132</v>
      </c>
      <c r="B14" s="5" t="s">
        <v>133</v>
      </c>
      <c r="C14" s="5" t="s">
        <v>134</v>
      </c>
      <c r="D14" s="5"/>
      <c r="E14" s="5" t="s">
        <v>135</v>
      </c>
      <c r="F14" s="7">
        <v>8119416329</v>
      </c>
      <c r="G14" s="5" t="s">
        <v>136</v>
      </c>
      <c r="H14" s="9">
        <v>46057</v>
      </c>
      <c r="I14" s="9">
        <v>46073</v>
      </c>
      <c r="J14" s="5" t="s">
        <v>137</v>
      </c>
      <c r="K14" s="5" t="s">
        <v>79</v>
      </c>
      <c r="L14" s="5" t="s">
        <v>128</v>
      </c>
      <c r="M14" s="5"/>
      <c r="N14" s="5" t="s">
        <v>81</v>
      </c>
    </row>
    <row r="15" spans="1:15" hidden="1">
      <c r="A15" s="14" t="s">
        <v>138</v>
      </c>
      <c r="B15" s="5" t="s">
        <v>139</v>
      </c>
      <c r="C15" s="5" t="s">
        <v>134</v>
      </c>
      <c r="D15" s="5"/>
      <c r="E15" s="5" t="s">
        <v>140</v>
      </c>
      <c r="F15" s="7">
        <v>8120981455</v>
      </c>
      <c r="G15" s="5" t="s">
        <v>77</v>
      </c>
      <c r="H15" s="9">
        <v>46051</v>
      </c>
      <c r="I15" s="9">
        <v>46072</v>
      </c>
      <c r="J15" s="5" t="s">
        <v>78</v>
      </c>
      <c r="K15" s="5" t="s">
        <v>80</v>
      </c>
      <c r="L15" s="5"/>
      <c r="M15" s="5"/>
      <c r="N15" s="5" t="s">
        <v>81</v>
      </c>
    </row>
    <row r="16" spans="1:15" hidden="1">
      <c r="A16" t="s">
        <v>141</v>
      </c>
      <c r="B16" t="s">
        <v>142</v>
      </c>
      <c r="C16" t="s">
        <v>143</v>
      </c>
      <c r="D16"/>
      <c r="E16" t="s">
        <v>83</v>
      </c>
      <c r="F16" s="2">
        <v>8999504930</v>
      </c>
      <c r="G16" t="s">
        <v>144</v>
      </c>
      <c r="H16" s="3">
        <v>46067</v>
      </c>
      <c r="I16" s="3">
        <v>46071</v>
      </c>
      <c r="J16" t="s">
        <v>145</v>
      </c>
      <c r="K16" t="s">
        <v>122</v>
      </c>
      <c r="N16" t="s">
        <v>81</v>
      </c>
    </row>
    <row r="17" spans="1:15" hidden="1">
      <c r="A17" s="5" t="s">
        <v>146</v>
      </c>
      <c r="B17" s="5" t="s">
        <v>147</v>
      </c>
      <c r="C17" s="5" t="s">
        <v>148</v>
      </c>
      <c r="D17" s="5"/>
      <c r="E17" s="5" t="s">
        <v>95</v>
      </c>
      <c r="F17" s="7">
        <v>9564020595</v>
      </c>
      <c r="G17" s="5" t="s">
        <v>77</v>
      </c>
      <c r="H17" s="9">
        <v>46058</v>
      </c>
      <c r="I17" s="9">
        <v>46072</v>
      </c>
      <c r="J17" s="5" t="s">
        <v>149</v>
      </c>
      <c r="K17" s="5" t="s">
        <v>122</v>
      </c>
      <c r="L17" s="5"/>
      <c r="M17" s="5"/>
      <c r="N17" s="5" t="s">
        <v>81</v>
      </c>
    </row>
    <row r="18" spans="1:15" hidden="1">
      <c r="A18" s="15" t="s">
        <v>150</v>
      </c>
      <c r="B18" s="5" t="s">
        <v>151</v>
      </c>
      <c r="C18" s="5" t="s">
        <v>152</v>
      </c>
      <c r="D18" s="5"/>
      <c r="E18" s="5" t="s">
        <v>95</v>
      </c>
      <c r="F18" s="7">
        <v>8117815819</v>
      </c>
      <c r="G18" s="5" t="s">
        <v>77</v>
      </c>
      <c r="H18" s="9">
        <v>46064</v>
      </c>
      <c r="I18" s="9">
        <v>46072</v>
      </c>
      <c r="J18" s="5" t="s">
        <v>153</v>
      </c>
      <c r="K18" s="5" t="s">
        <v>122</v>
      </c>
      <c r="L18" s="5"/>
      <c r="M18" s="5"/>
      <c r="N18" s="5" t="s">
        <v>81</v>
      </c>
    </row>
    <row r="19" spans="1:15" hidden="1">
      <c r="A19" s="5" t="s">
        <v>154</v>
      </c>
      <c r="B19" s="5" t="s">
        <v>155</v>
      </c>
      <c r="C19" s="5" t="s">
        <v>156</v>
      </c>
      <c r="D19" s="5"/>
      <c r="E19" s="5" t="s">
        <v>157</v>
      </c>
      <c r="F19" s="7">
        <v>8113936545</v>
      </c>
      <c r="G19" s="5" t="s">
        <v>77</v>
      </c>
      <c r="H19" s="9">
        <v>46071</v>
      </c>
      <c r="I19" s="9">
        <v>46072</v>
      </c>
      <c r="J19" s="5" t="s">
        <v>158</v>
      </c>
      <c r="K19" s="5" t="s">
        <v>80</v>
      </c>
      <c r="L19" s="5"/>
      <c r="M19" s="5"/>
      <c r="N19" s="5" t="s">
        <v>81</v>
      </c>
    </row>
    <row r="20" spans="1:15" s="13" customFormat="1" hidden="1">
      <c r="A20" s="5" t="s">
        <v>132</v>
      </c>
      <c r="B20" s="5" t="s">
        <v>133</v>
      </c>
      <c r="C20" s="5" t="s">
        <v>134</v>
      </c>
      <c r="D20" s="5"/>
      <c r="E20" s="5" t="s">
        <v>135</v>
      </c>
      <c r="F20" s="7">
        <v>8119416329</v>
      </c>
      <c r="G20" s="5" t="s">
        <v>86</v>
      </c>
      <c r="H20" s="9">
        <v>46057</v>
      </c>
      <c r="I20" s="9">
        <v>46078</v>
      </c>
      <c r="J20" s="5" t="s">
        <v>86</v>
      </c>
      <c r="K20" s="5" t="s">
        <v>122</v>
      </c>
      <c r="L20" s="5"/>
      <c r="M20" s="5"/>
      <c r="N20" s="6" t="s">
        <v>81</v>
      </c>
      <c r="O20" s="5"/>
    </row>
    <row r="21" spans="1:15" hidden="1">
      <c r="A21" s="5" t="s">
        <v>159</v>
      </c>
      <c r="B21" s="5" t="s">
        <v>160</v>
      </c>
      <c r="C21" s="5" t="s">
        <v>161</v>
      </c>
      <c r="D21" s="5"/>
      <c r="E21" s="5" t="s">
        <v>162</v>
      </c>
      <c r="F21" s="7">
        <v>4692788407</v>
      </c>
      <c r="G21" s="5" t="s">
        <v>86</v>
      </c>
      <c r="H21" s="9">
        <v>46058</v>
      </c>
      <c r="I21" s="9">
        <v>46072</v>
      </c>
      <c r="J21" s="5" t="s">
        <v>163</v>
      </c>
      <c r="K21" s="5"/>
      <c r="L21" s="5" t="s">
        <v>128</v>
      </c>
      <c r="M21" s="5"/>
      <c r="N21" s="5" t="s">
        <v>81</v>
      </c>
    </row>
    <row r="22" spans="1:15" s="5" customFormat="1" hidden="1">
      <c r="A22" s="5" t="s">
        <v>74</v>
      </c>
      <c r="B22" s="5" t="s">
        <v>75</v>
      </c>
      <c r="C22" s="5" t="s">
        <v>119</v>
      </c>
      <c r="E22" s="5" t="s">
        <v>164</v>
      </c>
      <c r="F22" s="7">
        <v>8777880256</v>
      </c>
      <c r="G22" s="5" t="s">
        <v>136</v>
      </c>
      <c r="H22" s="9">
        <v>46070</v>
      </c>
      <c r="I22" s="9">
        <v>46073</v>
      </c>
      <c r="J22" s="5" t="s">
        <v>137</v>
      </c>
      <c r="K22" s="5" t="s">
        <v>122</v>
      </c>
      <c r="N22" s="5" t="s">
        <v>81</v>
      </c>
    </row>
    <row r="23" spans="1:15" s="5" customFormat="1" hidden="1">
      <c r="A23" s="5" t="s">
        <v>165</v>
      </c>
      <c r="E23" s="5" t="s">
        <v>166</v>
      </c>
      <c r="F23" s="7">
        <v>8110443933</v>
      </c>
      <c r="G23" s="5" t="s">
        <v>136</v>
      </c>
      <c r="H23" s="9">
        <v>46070</v>
      </c>
      <c r="I23" s="9">
        <v>46076</v>
      </c>
      <c r="J23" s="5" t="s">
        <v>167</v>
      </c>
      <c r="K23" s="5" t="s">
        <v>80</v>
      </c>
      <c r="N23" s="5" t="s">
        <v>81</v>
      </c>
    </row>
    <row r="24" spans="1:15" s="5" customFormat="1" hidden="1">
      <c r="A24" s="5" t="s">
        <v>168</v>
      </c>
      <c r="B24" s="5" t="s">
        <v>169</v>
      </c>
      <c r="C24" s="5" t="s">
        <v>170</v>
      </c>
      <c r="E24" s="5" t="s">
        <v>83</v>
      </c>
      <c r="F24" s="7">
        <v>8125163183</v>
      </c>
      <c r="G24" s="5" t="s">
        <v>77</v>
      </c>
      <c r="H24" s="9">
        <v>46071</v>
      </c>
      <c r="I24" s="9">
        <v>46073</v>
      </c>
      <c r="J24" s="5" t="s">
        <v>171</v>
      </c>
      <c r="K24" s="5" t="s">
        <v>122</v>
      </c>
      <c r="N24" s="5" t="s">
        <v>81</v>
      </c>
    </row>
    <row r="25" spans="1:15" s="5" customFormat="1" hidden="1">
      <c r="A25" s="5" t="s">
        <v>172</v>
      </c>
      <c r="B25" s="5" t="s">
        <v>173</v>
      </c>
      <c r="C25" s="5" t="s">
        <v>174</v>
      </c>
      <c r="E25" s="5" t="s">
        <v>175</v>
      </c>
      <c r="F25" s="7">
        <v>4425759608</v>
      </c>
      <c r="G25" s="5" t="s">
        <v>77</v>
      </c>
      <c r="H25" s="9">
        <v>46066</v>
      </c>
      <c r="I25" s="9">
        <v>46074</v>
      </c>
      <c r="J25" s="5" t="s">
        <v>176</v>
      </c>
      <c r="K25" s="5" t="s">
        <v>122</v>
      </c>
      <c r="N25" s="5" t="s">
        <v>81</v>
      </c>
    </row>
    <row r="26" spans="1:15" hidden="1">
      <c r="A26" t="s">
        <v>177</v>
      </c>
      <c r="B26" t="s">
        <v>177</v>
      </c>
      <c r="C26" t="s">
        <v>178</v>
      </c>
      <c r="D26"/>
      <c r="E26" t="s">
        <v>179</v>
      </c>
      <c r="F26" s="2">
        <v>8117737456</v>
      </c>
      <c r="G26" t="s">
        <v>77</v>
      </c>
      <c r="H26" s="3">
        <v>46305</v>
      </c>
      <c r="I26" s="3">
        <v>46074</v>
      </c>
      <c r="J26" t="s">
        <v>180</v>
      </c>
      <c r="K26" t="s">
        <v>79</v>
      </c>
      <c r="L26" t="s">
        <v>80</v>
      </c>
      <c r="N26" s="5" t="s">
        <v>81</v>
      </c>
    </row>
    <row r="27" spans="1:15" hidden="1">
      <c r="A27" s="6" t="s">
        <v>181</v>
      </c>
      <c r="B27" s="6" t="s">
        <v>182</v>
      </c>
      <c r="C27" s="6" t="s">
        <v>183</v>
      </c>
      <c r="D27" s="6"/>
      <c r="E27" s="6" t="s">
        <v>184</v>
      </c>
      <c r="F27" s="11">
        <v>8120737545</v>
      </c>
      <c r="G27" s="6" t="s">
        <v>77</v>
      </c>
      <c r="H27" s="12">
        <v>46071</v>
      </c>
      <c r="I27" s="12">
        <v>46080</v>
      </c>
      <c r="J27" s="6" t="s">
        <v>185</v>
      </c>
      <c r="K27" s="6" t="s">
        <v>80</v>
      </c>
      <c r="L27" s="6"/>
      <c r="M27" s="6"/>
      <c r="N27" s="6" t="s">
        <v>81</v>
      </c>
    </row>
    <row r="28" spans="1:15" hidden="1">
      <c r="A28" t="s">
        <v>186</v>
      </c>
      <c r="B28" t="s">
        <v>187</v>
      </c>
      <c r="C28" t="s">
        <v>188</v>
      </c>
      <c r="D28"/>
      <c r="E28" s="5" t="s">
        <v>100</v>
      </c>
      <c r="F28" s="2">
        <v>8116111739</v>
      </c>
      <c r="G28" t="s">
        <v>136</v>
      </c>
      <c r="H28" s="3">
        <v>46080</v>
      </c>
      <c r="I28" s="3">
        <v>46083</v>
      </c>
      <c r="J28" t="s">
        <v>189</v>
      </c>
      <c r="K28" t="s">
        <v>80</v>
      </c>
      <c r="L28" t="s">
        <v>79</v>
      </c>
      <c r="N28" s="6" t="s">
        <v>81</v>
      </c>
    </row>
    <row r="29" spans="1:15" s="5" customFormat="1" hidden="1">
      <c r="A29" t="s">
        <v>190</v>
      </c>
      <c r="B29"/>
      <c r="C29" t="s">
        <v>191</v>
      </c>
      <c r="D29"/>
      <c r="E29" t="s">
        <v>135</v>
      </c>
      <c r="F29" s="2"/>
      <c r="G29" t="s">
        <v>77</v>
      </c>
      <c r="H29" s="35">
        <v>46062</v>
      </c>
      <c r="I29" s="35">
        <v>46084</v>
      </c>
      <c r="J29" t="s">
        <v>192</v>
      </c>
      <c r="K29" t="s">
        <v>193</v>
      </c>
      <c r="L29" t="s">
        <v>79</v>
      </c>
      <c r="M29"/>
      <c r="N29" s="6" t="s">
        <v>81</v>
      </c>
      <c r="O29" s="16"/>
    </row>
    <row r="30" spans="1:15" hidden="1">
      <c r="A30" t="s">
        <v>194</v>
      </c>
      <c r="B30" t="s">
        <v>195</v>
      </c>
      <c r="C30" t="s">
        <v>196</v>
      </c>
      <c r="D30"/>
      <c r="E30" t="s">
        <v>100</v>
      </c>
      <c r="F30" s="2">
        <v>8117490470</v>
      </c>
      <c r="G30" t="s">
        <v>77</v>
      </c>
      <c r="H30" s="3">
        <v>46080</v>
      </c>
      <c r="I30" s="3">
        <v>46084</v>
      </c>
      <c r="J30" t="s">
        <v>197</v>
      </c>
      <c r="K30" t="s">
        <v>80</v>
      </c>
      <c r="N30" s="6" t="s">
        <v>81</v>
      </c>
    </row>
    <row r="31" spans="1:15" hidden="1">
      <c r="A31" s="5" t="s">
        <v>159</v>
      </c>
      <c r="B31" s="5" t="s">
        <v>160</v>
      </c>
      <c r="C31" s="5" t="s">
        <v>161</v>
      </c>
      <c r="D31" s="5"/>
      <c r="E31" s="5" t="s">
        <v>162</v>
      </c>
      <c r="F31" s="7">
        <v>4692788407</v>
      </c>
      <c r="G31" s="5" t="s">
        <v>77</v>
      </c>
      <c r="H31" s="9">
        <v>46073</v>
      </c>
      <c r="I31" s="9">
        <v>46080</v>
      </c>
      <c r="J31" s="5" t="s">
        <v>78</v>
      </c>
      <c r="K31" s="5" t="s">
        <v>79</v>
      </c>
      <c r="L31" s="5" t="s">
        <v>128</v>
      </c>
      <c r="M31" s="5"/>
      <c r="N31" s="5" t="s">
        <v>81</v>
      </c>
    </row>
    <row r="32" spans="1:15" hidden="1">
      <c r="A32" t="s">
        <v>198</v>
      </c>
      <c r="B32" t="s">
        <v>75</v>
      </c>
      <c r="C32" t="s">
        <v>199</v>
      </c>
      <c r="D32"/>
      <c r="E32" t="s">
        <v>83</v>
      </c>
      <c r="F32" s="2">
        <v>3326822265</v>
      </c>
      <c r="G32" t="s">
        <v>144</v>
      </c>
      <c r="H32" s="35">
        <v>46065</v>
      </c>
      <c r="I32" s="35">
        <v>46090</v>
      </c>
      <c r="J32" t="s">
        <v>78</v>
      </c>
      <c r="K32" t="s">
        <v>79</v>
      </c>
      <c r="L32" t="s">
        <v>128</v>
      </c>
      <c r="N32" s="6" t="s">
        <v>81</v>
      </c>
    </row>
    <row r="33" spans="1:15" hidden="1">
      <c r="A33" t="s">
        <v>200</v>
      </c>
      <c r="C33" t="s">
        <v>134</v>
      </c>
      <c r="D33"/>
      <c r="E33" t="s">
        <v>201</v>
      </c>
      <c r="H33" s="35">
        <v>46092</v>
      </c>
      <c r="I33" s="35">
        <v>46100</v>
      </c>
      <c r="J33" t="s">
        <v>202</v>
      </c>
      <c r="K33" t="s">
        <v>193</v>
      </c>
      <c r="N33" s="6" t="s">
        <v>81</v>
      </c>
    </row>
    <row r="34" spans="1:15" s="80" customFormat="1">
      <c r="A34" s="80" t="s">
        <v>159</v>
      </c>
      <c r="B34" s="80" t="s">
        <v>203</v>
      </c>
      <c r="C34" s="80" t="s">
        <v>161</v>
      </c>
      <c r="D34" s="81"/>
      <c r="E34" s="80" t="s">
        <v>162</v>
      </c>
      <c r="F34" s="82"/>
      <c r="G34" s="80" t="s">
        <v>65</v>
      </c>
      <c r="H34" s="83">
        <v>46100</v>
      </c>
      <c r="I34" s="83">
        <v>46135</v>
      </c>
      <c r="J34" s="80" t="s">
        <v>204</v>
      </c>
      <c r="K34" s="80" t="s">
        <v>193</v>
      </c>
      <c r="L34" s="80" t="s">
        <v>79</v>
      </c>
      <c r="M34" s="80" t="s">
        <v>80</v>
      </c>
      <c r="N34" s="80" t="s">
        <v>205</v>
      </c>
      <c r="O34" s="80" t="s">
        <v>206</v>
      </c>
    </row>
    <row r="35" spans="1:15">
      <c r="A35" s="38" t="s">
        <v>74</v>
      </c>
      <c r="B35" t="s">
        <v>207</v>
      </c>
      <c r="C35" t="s">
        <v>119</v>
      </c>
      <c r="D35" s="87"/>
      <c r="E35" t="s">
        <v>164</v>
      </c>
      <c r="F35" s="2">
        <v>8112304030</v>
      </c>
      <c r="G35" t="s">
        <v>208</v>
      </c>
      <c r="H35" s="35">
        <v>46091</v>
      </c>
      <c r="I35" s="35">
        <v>46140</v>
      </c>
      <c r="J35" t="s">
        <v>209</v>
      </c>
      <c r="K35" t="s">
        <v>122</v>
      </c>
      <c r="N35" t="s">
        <v>205</v>
      </c>
    </row>
    <row r="36" spans="1:15" hidden="1">
      <c r="A36" t="s">
        <v>210</v>
      </c>
      <c r="C36" t="s">
        <v>211</v>
      </c>
      <c r="D36"/>
      <c r="E36" t="s">
        <v>212</v>
      </c>
      <c r="F36" s="2">
        <v>8125755553</v>
      </c>
      <c r="G36" t="s">
        <v>136</v>
      </c>
      <c r="H36" s="35">
        <v>46104</v>
      </c>
      <c r="I36" s="35">
        <v>46111</v>
      </c>
      <c r="J36" s="34" t="s">
        <v>213</v>
      </c>
      <c r="K36" t="s">
        <v>79</v>
      </c>
      <c r="L36" t="s">
        <v>128</v>
      </c>
      <c r="N36" t="s">
        <v>81</v>
      </c>
    </row>
    <row r="37" spans="1:15" hidden="1">
      <c r="A37" t="s">
        <v>214</v>
      </c>
      <c r="B37" t="s">
        <v>215</v>
      </c>
      <c r="C37" t="s">
        <v>216</v>
      </c>
      <c r="D37"/>
      <c r="E37" t="s">
        <v>217</v>
      </c>
      <c r="F37" s="2">
        <v>8662055005</v>
      </c>
      <c r="G37" t="s">
        <v>77</v>
      </c>
      <c r="H37" s="35">
        <v>46080</v>
      </c>
      <c r="I37" s="35">
        <v>46107</v>
      </c>
      <c r="J37" t="s">
        <v>218</v>
      </c>
      <c r="K37" t="s">
        <v>79</v>
      </c>
      <c r="L37" t="s">
        <v>128</v>
      </c>
      <c r="N37" t="s">
        <v>81</v>
      </c>
    </row>
    <row r="38" spans="1:15" hidden="1">
      <c r="A38" t="s">
        <v>219</v>
      </c>
      <c r="B38" t="s">
        <v>220</v>
      </c>
      <c r="C38" t="s">
        <v>221</v>
      </c>
      <c r="D38"/>
      <c r="E38" t="s">
        <v>222</v>
      </c>
      <c r="F38" s="2">
        <v>8183969939</v>
      </c>
      <c r="G38" t="s">
        <v>223</v>
      </c>
      <c r="H38" s="35">
        <v>46087</v>
      </c>
      <c r="I38" s="35">
        <v>46092</v>
      </c>
      <c r="J38" t="s">
        <v>224</v>
      </c>
      <c r="K38" t="s">
        <v>80</v>
      </c>
      <c r="N38" t="s">
        <v>81</v>
      </c>
      <c r="O38" t="s">
        <v>225</v>
      </c>
    </row>
    <row r="39" spans="1:15" hidden="1">
      <c r="A39" t="s">
        <v>210</v>
      </c>
      <c r="C39" t="s">
        <v>211</v>
      </c>
      <c r="D39"/>
      <c r="E39" t="s">
        <v>212</v>
      </c>
      <c r="F39" s="2">
        <v>8125755553</v>
      </c>
      <c r="G39" t="s">
        <v>208</v>
      </c>
      <c r="H39" s="35">
        <v>46104</v>
      </c>
      <c r="I39" s="45">
        <v>46112</v>
      </c>
      <c r="J39" s="34" t="s">
        <v>86</v>
      </c>
      <c r="K39" t="s">
        <v>122</v>
      </c>
      <c r="N39" t="s">
        <v>81</v>
      </c>
    </row>
    <row r="40" spans="1:15" hidden="1">
      <c r="A40" t="s">
        <v>226</v>
      </c>
      <c r="B40" t="s">
        <v>207</v>
      </c>
      <c r="C40" t="s">
        <v>227</v>
      </c>
      <c r="D40"/>
      <c r="E40" t="s">
        <v>83</v>
      </c>
      <c r="F40" s="2">
        <v>6621371807</v>
      </c>
      <c r="G40" t="s">
        <v>228</v>
      </c>
      <c r="H40" s="35">
        <v>46091</v>
      </c>
      <c r="I40" s="35">
        <v>46098</v>
      </c>
      <c r="J40" t="s">
        <v>229</v>
      </c>
      <c r="K40" t="s">
        <v>122</v>
      </c>
      <c r="N40" t="s">
        <v>81</v>
      </c>
    </row>
    <row r="41" spans="1:15" s="34" customFormat="1">
      <c r="A41" t="s">
        <v>230</v>
      </c>
      <c r="B41" t="s">
        <v>231</v>
      </c>
      <c r="C41" t="s">
        <v>232</v>
      </c>
      <c r="D41" s="87">
        <v>2507015</v>
      </c>
      <c r="E41" t="s">
        <v>184</v>
      </c>
      <c r="F41" s="2">
        <v>8123928278</v>
      </c>
      <c r="G41" t="s">
        <v>77</v>
      </c>
      <c r="H41" s="35">
        <v>46111</v>
      </c>
      <c r="I41" s="35"/>
      <c r="J41" t="s">
        <v>233</v>
      </c>
      <c r="K41" t="s">
        <v>80</v>
      </c>
      <c r="L41"/>
      <c r="M41"/>
      <c r="N41" t="s">
        <v>205</v>
      </c>
      <c r="O41" t="s">
        <v>234</v>
      </c>
    </row>
    <row r="42" spans="1:15" hidden="1">
      <c r="A42" t="s">
        <v>200</v>
      </c>
      <c r="C42" t="s">
        <v>178</v>
      </c>
      <c r="D42"/>
      <c r="E42" t="s">
        <v>201</v>
      </c>
      <c r="H42" s="35">
        <v>46092</v>
      </c>
      <c r="I42" s="35">
        <v>46113</v>
      </c>
      <c r="J42" t="s">
        <v>202</v>
      </c>
      <c r="K42" t="s">
        <v>80</v>
      </c>
      <c r="N42" t="s">
        <v>81</v>
      </c>
    </row>
    <row r="43" spans="1:15" s="80" customFormat="1">
      <c r="A43" s="85" t="s">
        <v>235</v>
      </c>
      <c r="C43" s="80" t="s">
        <v>236</v>
      </c>
      <c r="D43" s="81"/>
      <c r="E43" s="80" t="s">
        <v>222</v>
      </c>
      <c r="F43" s="82">
        <v>8119043182</v>
      </c>
      <c r="G43" s="80" t="s">
        <v>136</v>
      </c>
      <c r="H43" s="83"/>
      <c r="I43" s="83">
        <v>46127</v>
      </c>
      <c r="J43" s="80" t="s">
        <v>136</v>
      </c>
      <c r="K43" s="80" t="s">
        <v>80</v>
      </c>
      <c r="L43" s="80" t="s">
        <v>79</v>
      </c>
      <c r="N43" s="80" t="s">
        <v>205</v>
      </c>
    </row>
    <row r="44" spans="1:15" hidden="1">
      <c r="A44" t="s">
        <v>237</v>
      </c>
      <c r="D44"/>
      <c r="E44" t="s">
        <v>184</v>
      </c>
      <c r="H44" s="35">
        <v>46111</v>
      </c>
      <c r="I44" s="35">
        <v>46113</v>
      </c>
      <c r="J44" t="s">
        <v>238</v>
      </c>
      <c r="K44" t="s">
        <v>122</v>
      </c>
      <c r="N44" t="s">
        <v>81</v>
      </c>
    </row>
    <row r="45" spans="1:15">
      <c r="A45" t="s">
        <v>239</v>
      </c>
      <c r="B45" t="s">
        <v>240</v>
      </c>
      <c r="C45" t="s">
        <v>178</v>
      </c>
      <c r="D45" s="87"/>
      <c r="E45" t="s">
        <v>241</v>
      </c>
      <c r="G45" t="s">
        <v>242</v>
      </c>
      <c r="I45" s="35">
        <v>46132</v>
      </c>
      <c r="J45" t="s">
        <v>136</v>
      </c>
      <c r="K45" t="s">
        <v>122</v>
      </c>
      <c r="L45" t="s">
        <v>128</v>
      </c>
      <c r="N45" t="s">
        <v>205</v>
      </c>
      <c r="O45" t="s">
        <v>243</v>
      </c>
    </row>
    <row r="46" spans="1:15" hidden="1">
      <c r="A46" t="s">
        <v>200</v>
      </c>
      <c r="C46" t="s">
        <v>134</v>
      </c>
      <c r="D46"/>
      <c r="E46" t="s">
        <v>201</v>
      </c>
      <c r="H46" s="35">
        <v>46092</v>
      </c>
      <c r="I46" s="35">
        <v>46100</v>
      </c>
      <c r="J46" t="s">
        <v>202</v>
      </c>
      <c r="K46" t="s">
        <v>80</v>
      </c>
      <c r="N46" t="s">
        <v>81</v>
      </c>
    </row>
    <row r="47" spans="1:15">
      <c r="A47" t="s">
        <v>244</v>
      </c>
      <c r="B47" t="s">
        <v>245</v>
      </c>
      <c r="C47" t="s">
        <v>246</v>
      </c>
      <c r="D47" s="87"/>
      <c r="E47" t="s">
        <v>100</v>
      </c>
      <c r="F47" s="2">
        <v>8131188942</v>
      </c>
      <c r="G47" t="s">
        <v>247</v>
      </c>
      <c r="H47" s="35">
        <v>46107</v>
      </c>
      <c r="I47" s="35">
        <v>46128</v>
      </c>
      <c r="J47" t="s">
        <v>247</v>
      </c>
      <c r="K47" t="s">
        <v>80</v>
      </c>
      <c r="L47" t="s">
        <v>79</v>
      </c>
      <c r="N47" t="s">
        <v>205</v>
      </c>
    </row>
    <row r="48" spans="1:15" hidden="1">
      <c r="A48" t="s">
        <v>103</v>
      </c>
      <c r="B48" t="s">
        <v>104</v>
      </c>
      <c r="C48" t="s">
        <v>105</v>
      </c>
      <c r="D48"/>
      <c r="E48" t="s">
        <v>106</v>
      </c>
      <c r="F48" s="2">
        <v>8140787891</v>
      </c>
      <c r="G48" t="s">
        <v>77</v>
      </c>
      <c r="H48" s="3">
        <v>46063</v>
      </c>
      <c r="I48" s="3"/>
      <c r="J48" t="s">
        <v>248</v>
      </c>
      <c r="K48" t="s">
        <v>80</v>
      </c>
      <c r="N48" t="s">
        <v>81</v>
      </c>
      <c r="O48" t="s">
        <v>249</v>
      </c>
    </row>
    <row r="49" spans="1:15" hidden="1">
      <c r="A49" s="26" t="s">
        <v>200</v>
      </c>
      <c r="C49" t="s">
        <v>250</v>
      </c>
      <c r="D49"/>
      <c r="E49" t="s">
        <v>201</v>
      </c>
      <c r="H49" s="35">
        <v>46092</v>
      </c>
      <c r="I49" s="35">
        <v>46100</v>
      </c>
      <c r="J49" t="s">
        <v>202</v>
      </c>
      <c r="K49" t="s">
        <v>79</v>
      </c>
      <c r="L49" t="s">
        <v>128</v>
      </c>
      <c r="N49" t="s">
        <v>81</v>
      </c>
    </row>
    <row r="50" spans="1:15" hidden="1">
      <c r="A50" t="s">
        <v>200</v>
      </c>
      <c r="C50" t="s">
        <v>251</v>
      </c>
      <c r="D50"/>
      <c r="E50" t="s">
        <v>201</v>
      </c>
      <c r="H50" s="35">
        <v>46092</v>
      </c>
      <c r="I50" s="35">
        <v>46100</v>
      </c>
      <c r="J50" t="s">
        <v>202</v>
      </c>
      <c r="K50" t="s">
        <v>79</v>
      </c>
      <c r="N50" t="s">
        <v>81</v>
      </c>
    </row>
    <row r="51" spans="1:15" hidden="1">
      <c r="A51" t="s">
        <v>252</v>
      </c>
      <c r="C51" t="s">
        <v>199</v>
      </c>
      <c r="D51"/>
      <c r="E51" t="s">
        <v>179</v>
      </c>
      <c r="F51" s="2">
        <v>8119032975</v>
      </c>
      <c r="G51" t="s">
        <v>65</v>
      </c>
      <c r="H51" s="35">
        <v>46050</v>
      </c>
      <c r="J51" t="s">
        <v>225</v>
      </c>
      <c r="K51" t="s">
        <v>79</v>
      </c>
      <c r="L51" t="s">
        <v>128</v>
      </c>
      <c r="N51" t="s">
        <v>81</v>
      </c>
    </row>
    <row r="52" spans="1:15" hidden="1">
      <c r="A52" t="s">
        <v>253</v>
      </c>
      <c r="B52" t="s">
        <v>254</v>
      </c>
      <c r="C52" t="s">
        <v>255</v>
      </c>
      <c r="D52"/>
      <c r="E52" t="s">
        <v>256</v>
      </c>
      <c r="F52" s="2" t="s">
        <v>257</v>
      </c>
      <c r="G52" t="s">
        <v>77</v>
      </c>
      <c r="H52" s="35">
        <v>46091</v>
      </c>
      <c r="I52" s="35">
        <v>46108</v>
      </c>
      <c r="J52" t="s">
        <v>258</v>
      </c>
      <c r="K52" t="s">
        <v>193</v>
      </c>
      <c r="N52" t="s">
        <v>81</v>
      </c>
    </row>
    <row r="53" spans="1:15" hidden="1">
      <c r="A53" t="s">
        <v>259</v>
      </c>
      <c r="B53" t="s">
        <v>260</v>
      </c>
      <c r="C53" t="s">
        <v>261</v>
      </c>
      <c r="D53"/>
      <c r="E53" t="s">
        <v>262</v>
      </c>
      <c r="F53" s="2">
        <v>4441101875</v>
      </c>
      <c r="G53" t="s">
        <v>65</v>
      </c>
      <c r="H53" s="35">
        <v>46066</v>
      </c>
      <c r="J53" t="s">
        <v>263</v>
      </c>
      <c r="K53" t="s">
        <v>79</v>
      </c>
      <c r="L53" t="s">
        <v>80</v>
      </c>
      <c r="N53" t="s">
        <v>81</v>
      </c>
    </row>
    <row r="54" spans="1:15" hidden="1">
      <c r="A54" t="s">
        <v>264</v>
      </c>
      <c r="B54" t="s">
        <v>75</v>
      </c>
      <c r="C54" t="s">
        <v>265</v>
      </c>
      <c r="D54"/>
      <c r="E54" t="s">
        <v>266</v>
      </c>
      <c r="G54" t="s">
        <v>65</v>
      </c>
      <c r="H54" s="35">
        <v>46072</v>
      </c>
      <c r="J54" t="s">
        <v>267</v>
      </c>
      <c r="K54" t="s">
        <v>268</v>
      </c>
      <c r="N54" t="s">
        <v>81</v>
      </c>
    </row>
    <row r="55" spans="1:15" hidden="1">
      <c r="A55" t="s">
        <v>269</v>
      </c>
      <c r="B55" t="s">
        <v>269</v>
      </c>
      <c r="C55" t="s">
        <v>270</v>
      </c>
      <c r="D55"/>
      <c r="E55" t="s">
        <v>271</v>
      </c>
      <c r="F55" s="2">
        <v>81118655661</v>
      </c>
      <c r="G55" t="s">
        <v>77</v>
      </c>
      <c r="H55" s="35">
        <v>46076</v>
      </c>
      <c r="J55" t="s">
        <v>272</v>
      </c>
      <c r="K55" t="s">
        <v>79</v>
      </c>
      <c r="L55" t="s">
        <v>128</v>
      </c>
      <c r="M55" t="s">
        <v>80</v>
      </c>
      <c r="N55" t="s">
        <v>81</v>
      </c>
      <c r="O55" t="s">
        <v>225</v>
      </c>
    </row>
    <row r="56" spans="1:15" ht="15">
      <c r="A56" s="34" t="s">
        <v>273</v>
      </c>
      <c r="B56" s="34" t="s">
        <v>274</v>
      </c>
      <c r="C56" s="34" t="s">
        <v>134</v>
      </c>
      <c r="D56" s="88"/>
      <c r="E56" s="34" t="s">
        <v>130</v>
      </c>
      <c r="F56" s="37">
        <v>8117810581</v>
      </c>
      <c r="G56" s="34" t="s">
        <v>136</v>
      </c>
      <c r="H56" s="36">
        <v>46091</v>
      </c>
      <c r="I56" s="36">
        <v>46139</v>
      </c>
      <c r="J56" s="34" t="s">
        <v>213</v>
      </c>
      <c r="K56" s="34" t="s">
        <v>80</v>
      </c>
      <c r="L56" s="34" t="s">
        <v>79</v>
      </c>
      <c r="M56" s="34"/>
      <c r="N56" s="34" t="s">
        <v>205</v>
      </c>
      <c r="O56" s="34" t="s">
        <v>275</v>
      </c>
    </row>
    <row r="57" spans="1:15">
      <c r="A57" t="s">
        <v>276</v>
      </c>
      <c r="B57" t="s">
        <v>240</v>
      </c>
      <c r="C57" t="s">
        <v>178</v>
      </c>
      <c r="D57" s="87"/>
      <c r="E57" t="s">
        <v>241</v>
      </c>
      <c r="G57" t="s">
        <v>121</v>
      </c>
      <c r="H57" s="35">
        <v>46099</v>
      </c>
      <c r="I57" s="35">
        <v>46135</v>
      </c>
      <c r="J57" t="s">
        <v>277</v>
      </c>
      <c r="K57" t="s">
        <v>122</v>
      </c>
      <c r="L57" t="s">
        <v>128</v>
      </c>
      <c r="N57" t="s">
        <v>205</v>
      </c>
    </row>
    <row r="58" spans="1:15" hidden="1">
      <c r="A58" t="s">
        <v>200</v>
      </c>
      <c r="C58" t="s">
        <v>94</v>
      </c>
      <c r="D58"/>
      <c r="E58" t="s">
        <v>201</v>
      </c>
      <c r="H58" s="35">
        <v>46092</v>
      </c>
      <c r="J58" t="s">
        <v>202</v>
      </c>
      <c r="K58" t="s">
        <v>79</v>
      </c>
      <c r="N58" t="s">
        <v>81</v>
      </c>
    </row>
    <row r="59" spans="1:15">
      <c r="A59" t="s">
        <v>200</v>
      </c>
      <c r="C59" t="s">
        <v>216</v>
      </c>
      <c r="D59" s="87"/>
      <c r="E59" t="s">
        <v>201</v>
      </c>
      <c r="H59" s="35">
        <v>46092</v>
      </c>
      <c r="J59" t="s">
        <v>278</v>
      </c>
      <c r="K59" t="s">
        <v>79</v>
      </c>
      <c r="N59" t="s">
        <v>205</v>
      </c>
    </row>
    <row r="60" spans="1:15">
      <c r="A60" t="s">
        <v>279</v>
      </c>
      <c r="C60" t="s">
        <v>280</v>
      </c>
      <c r="D60" s="87"/>
      <c r="E60" t="s">
        <v>201</v>
      </c>
      <c r="H60" s="35">
        <v>46092</v>
      </c>
      <c r="J60" t="s">
        <v>202</v>
      </c>
      <c r="K60" t="s">
        <v>122</v>
      </c>
      <c r="N60" t="s">
        <v>205</v>
      </c>
    </row>
    <row r="61" spans="1:15" s="80" customFormat="1">
      <c r="A61" s="85" t="s">
        <v>281</v>
      </c>
      <c r="B61" s="80" t="s">
        <v>282</v>
      </c>
      <c r="C61" s="80" t="s">
        <v>283</v>
      </c>
      <c r="D61" s="81"/>
      <c r="E61" s="80" t="s">
        <v>284</v>
      </c>
      <c r="F61" s="82">
        <v>8115210290</v>
      </c>
      <c r="G61" s="80" t="s">
        <v>136</v>
      </c>
      <c r="H61" s="83">
        <v>46093</v>
      </c>
      <c r="I61" s="83">
        <v>46130</v>
      </c>
      <c r="J61" s="84" t="s">
        <v>213</v>
      </c>
      <c r="K61" s="80" t="s">
        <v>80</v>
      </c>
      <c r="L61" s="80" t="s">
        <v>79</v>
      </c>
      <c r="N61" s="80" t="s">
        <v>205</v>
      </c>
    </row>
    <row r="62" spans="1:15" hidden="1">
      <c r="A62" t="s">
        <v>285</v>
      </c>
      <c r="C62" t="s">
        <v>199</v>
      </c>
      <c r="D62"/>
      <c r="E62" t="s">
        <v>184</v>
      </c>
      <c r="F62" s="2">
        <v>8117609033</v>
      </c>
      <c r="G62" t="s">
        <v>223</v>
      </c>
      <c r="H62" s="35">
        <v>46109</v>
      </c>
      <c r="J62" t="s">
        <v>223</v>
      </c>
      <c r="N62" t="s">
        <v>81</v>
      </c>
      <c r="O62" t="s">
        <v>286</v>
      </c>
    </row>
    <row r="63" spans="1:15">
      <c r="A63" t="s">
        <v>287</v>
      </c>
      <c r="B63" t="s">
        <v>288</v>
      </c>
      <c r="C63" t="s">
        <v>289</v>
      </c>
      <c r="D63" s="87"/>
      <c r="E63" t="s">
        <v>262</v>
      </c>
      <c r="F63" s="2">
        <v>4441422336</v>
      </c>
      <c r="G63" t="s">
        <v>77</v>
      </c>
      <c r="H63" s="35">
        <v>46111</v>
      </c>
      <c r="I63" s="35">
        <v>46146</v>
      </c>
      <c r="J63" t="s">
        <v>290</v>
      </c>
      <c r="K63" t="s">
        <v>80</v>
      </c>
      <c r="N63" t="s">
        <v>205</v>
      </c>
    </row>
    <row r="64" spans="1:15" s="80" customFormat="1">
      <c r="A64" s="80" t="s">
        <v>291</v>
      </c>
      <c r="B64" s="80" t="s">
        <v>292</v>
      </c>
      <c r="C64" s="80" t="s">
        <v>293</v>
      </c>
      <c r="D64" s="81"/>
      <c r="E64" s="80" t="s">
        <v>294</v>
      </c>
      <c r="F64" s="82">
        <v>8118100228</v>
      </c>
      <c r="G64" s="80" t="s">
        <v>86</v>
      </c>
      <c r="H64" s="83">
        <v>46112</v>
      </c>
      <c r="I64" s="83">
        <v>46139</v>
      </c>
      <c r="J64" s="80" t="s">
        <v>86</v>
      </c>
      <c r="K64" s="80" t="s">
        <v>122</v>
      </c>
      <c r="N64" s="80" t="s">
        <v>205</v>
      </c>
      <c r="O64" s="80" t="s">
        <v>243</v>
      </c>
    </row>
    <row r="65" spans="1:15" s="80" customFormat="1">
      <c r="A65" s="85" t="s">
        <v>295</v>
      </c>
      <c r="B65" s="80" t="s">
        <v>240</v>
      </c>
      <c r="C65" s="80" t="s">
        <v>296</v>
      </c>
      <c r="D65" s="81"/>
      <c r="E65" s="80" t="s">
        <v>297</v>
      </c>
      <c r="F65" s="82"/>
      <c r="G65" s="80" t="s">
        <v>136</v>
      </c>
      <c r="H65" s="83">
        <v>46112</v>
      </c>
      <c r="I65" s="83">
        <v>46129</v>
      </c>
      <c r="J65" s="80" t="s">
        <v>136</v>
      </c>
      <c r="K65" s="80" t="s">
        <v>80</v>
      </c>
      <c r="N65" s="80" t="s">
        <v>205</v>
      </c>
    </row>
    <row r="66" spans="1:15" hidden="1">
      <c r="A66" t="s">
        <v>298</v>
      </c>
      <c r="B66" t="s">
        <v>299</v>
      </c>
      <c r="C66" t="s">
        <v>211</v>
      </c>
      <c r="D66"/>
      <c r="E66" t="s">
        <v>300</v>
      </c>
      <c r="G66" t="s">
        <v>77</v>
      </c>
      <c r="H66" s="35">
        <v>46121</v>
      </c>
      <c r="J66" t="s">
        <v>301</v>
      </c>
      <c r="K66" t="s">
        <v>193</v>
      </c>
      <c r="N66" t="s">
        <v>81</v>
      </c>
      <c r="O66" t="s">
        <v>302</v>
      </c>
    </row>
    <row r="67" spans="1:15" hidden="1">
      <c r="A67" t="s">
        <v>303</v>
      </c>
      <c r="C67" t="s">
        <v>304</v>
      </c>
      <c r="D67"/>
      <c r="E67" t="s">
        <v>305</v>
      </c>
      <c r="F67" s="2" t="s">
        <v>306</v>
      </c>
      <c r="G67" t="s">
        <v>242</v>
      </c>
      <c r="H67" s="35">
        <v>46120</v>
      </c>
      <c r="J67" t="s">
        <v>307</v>
      </c>
    </row>
    <row r="68" spans="1:15" s="80" customFormat="1">
      <c r="A68" s="80" t="s">
        <v>308</v>
      </c>
      <c r="B68" s="80" t="s">
        <v>207</v>
      </c>
      <c r="C68" s="80" t="s">
        <v>199</v>
      </c>
      <c r="D68" s="81" t="s">
        <v>309</v>
      </c>
      <c r="E68" s="80" t="s">
        <v>310</v>
      </c>
      <c r="F68" s="82"/>
      <c r="G68" s="80" t="s">
        <v>311</v>
      </c>
      <c r="H68" s="83">
        <v>46125</v>
      </c>
      <c r="I68" s="83">
        <v>46133</v>
      </c>
      <c r="J68" s="80" t="s">
        <v>311</v>
      </c>
      <c r="K68" s="80" t="s">
        <v>80</v>
      </c>
      <c r="L68" s="80" t="s">
        <v>79</v>
      </c>
      <c r="N68" s="80" t="s">
        <v>205</v>
      </c>
      <c r="O68" s="80" t="s">
        <v>312</v>
      </c>
    </row>
    <row r="69" spans="1:15">
      <c r="A69" t="s">
        <v>313</v>
      </c>
      <c r="C69" t="s">
        <v>314</v>
      </c>
      <c r="D69" s="87">
        <v>2405150</v>
      </c>
      <c r="E69" t="s">
        <v>179</v>
      </c>
      <c r="G69" t="s">
        <v>311</v>
      </c>
      <c r="H69" s="35">
        <v>46126</v>
      </c>
      <c r="I69" s="35">
        <v>46135</v>
      </c>
      <c r="J69" t="s">
        <v>311</v>
      </c>
      <c r="N69" t="s">
        <v>205</v>
      </c>
      <c r="O69" t="s">
        <v>312</v>
      </c>
    </row>
    <row r="70" spans="1:15" s="80" customFormat="1">
      <c r="A70" s="85" t="s">
        <v>315</v>
      </c>
      <c r="B70" s="80" t="s">
        <v>316</v>
      </c>
      <c r="C70" s="80" t="s">
        <v>317</v>
      </c>
      <c r="D70" s="81"/>
      <c r="E70" s="80" t="s">
        <v>222</v>
      </c>
      <c r="F70" s="82"/>
      <c r="G70" s="80" t="s">
        <v>77</v>
      </c>
      <c r="H70" s="83">
        <v>46118</v>
      </c>
      <c r="I70" s="83">
        <v>46129</v>
      </c>
      <c r="J70" s="80" t="s">
        <v>78</v>
      </c>
      <c r="K70" s="80" t="s">
        <v>79</v>
      </c>
      <c r="L70" s="80" t="s">
        <v>318</v>
      </c>
      <c r="N70" s="80" t="s">
        <v>205</v>
      </c>
      <c r="O70" s="80" t="s">
        <v>319</v>
      </c>
    </row>
    <row r="71" spans="1:15">
      <c r="A71" s="16"/>
      <c r="D71" s="87"/>
    </row>
  </sheetData>
  <autoFilter ref="A1:O67" xr:uid="{56FAF7AB-7AE9-48FC-8C94-D1A5112C4CDE}">
    <filterColumn colId="13">
      <filters>
        <filter val="PENDIENTE"/>
      </filters>
    </filterColumn>
    <sortState xmlns:xlrd2="http://schemas.microsoft.com/office/spreadsheetml/2017/richdata2" ref="A7:O62">
      <sortCondition ref="I1:I62"/>
    </sortState>
  </autoFilter>
  <pageMargins left="0.7" right="0.7" top="0.75" bottom="0.75" header="0.3" footer="0.3"/>
  <pageSetup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DA6F-F91F-4282-9F2E-FFD136F982B7}">
  <sheetPr codeName="Hoja1"/>
  <dimension ref="A1:S44"/>
  <sheetViews>
    <sheetView zoomScale="110" zoomScaleNormal="110" workbookViewId="0">
      <selection activeCell="N4" sqref="N4"/>
    </sheetView>
  </sheetViews>
  <sheetFormatPr defaultColWidth="11.42578125" defaultRowHeight="14.45"/>
  <cols>
    <col min="1" max="1" width="12.5703125" style="2" bestFit="1" customWidth="1"/>
    <col min="2" max="2" width="13.140625" style="4" customWidth="1"/>
    <col min="10" max="10" width="12" bestFit="1" customWidth="1"/>
    <col min="13" max="13" width="11.42578125" customWidth="1"/>
    <col min="14" max="14" width="18.5703125" bestFit="1" customWidth="1"/>
    <col min="15" max="15" width="12.140625" style="17" bestFit="1" customWidth="1"/>
    <col min="16" max="16" width="11.42578125" customWidth="1"/>
    <col min="19" max="19" width="12.140625" bestFit="1" customWidth="1"/>
  </cols>
  <sheetData>
    <row r="1" spans="2:15">
      <c r="N1" s="87"/>
      <c r="O1"/>
    </row>
    <row r="2" spans="2:15">
      <c r="B2" s="22" t="s">
        <v>320</v>
      </c>
      <c r="C2" s="20"/>
      <c r="D2" s="20"/>
      <c r="E2" s="20"/>
      <c r="F2" s="20"/>
      <c r="G2" s="20"/>
      <c r="H2" s="20"/>
      <c r="I2" s="20"/>
      <c r="J2" s="20"/>
      <c r="K2" s="20"/>
      <c r="L2" s="20"/>
      <c r="N2" s="25" t="s">
        <v>321</v>
      </c>
      <c r="O2"/>
    </row>
    <row r="3" spans="2:15">
      <c r="B3" s="2" t="s">
        <v>322</v>
      </c>
      <c r="C3" s="87">
        <v>1</v>
      </c>
      <c r="D3" s="87">
        <v>2</v>
      </c>
      <c r="E3" s="87">
        <v>3</v>
      </c>
      <c r="F3" s="87">
        <v>4</v>
      </c>
      <c r="G3" s="87">
        <v>5</v>
      </c>
      <c r="H3" s="87">
        <v>6</v>
      </c>
      <c r="I3" s="87">
        <v>7</v>
      </c>
      <c r="J3" s="87">
        <v>8</v>
      </c>
      <c r="K3" s="87">
        <v>9</v>
      </c>
      <c r="L3" s="87">
        <v>10</v>
      </c>
      <c r="M3" s="23"/>
      <c r="N3" s="87">
        <v>0</v>
      </c>
      <c r="O3"/>
    </row>
    <row r="4" spans="2:15">
      <c r="B4" s="18" t="s">
        <v>323</v>
      </c>
      <c r="C4" s="4">
        <f>C3*2000</f>
        <v>2000</v>
      </c>
      <c r="D4" s="4">
        <f t="shared" ref="D4:L4" si="0">D3*2000</f>
        <v>4000</v>
      </c>
      <c r="E4" s="4">
        <f t="shared" si="0"/>
        <v>6000</v>
      </c>
      <c r="F4" s="4">
        <f t="shared" si="0"/>
        <v>8000</v>
      </c>
      <c r="G4" s="4">
        <f t="shared" si="0"/>
        <v>10000</v>
      </c>
      <c r="H4" s="4">
        <f t="shared" si="0"/>
        <v>12000</v>
      </c>
      <c r="I4" s="4">
        <f t="shared" si="0"/>
        <v>14000</v>
      </c>
      <c r="J4" s="4">
        <f t="shared" si="0"/>
        <v>16000</v>
      </c>
      <c r="K4" s="4">
        <f t="shared" si="0"/>
        <v>18000</v>
      </c>
      <c r="L4" s="4">
        <f t="shared" si="0"/>
        <v>20000</v>
      </c>
      <c r="M4" s="23"/>
      <c r="N4" s="24">
        <f>N3*C4</f>
        <v>0</v>
      </c>
      <c r="O4"/>
    </row>
    <row r="5" spans="2:15">
      <c r="N5" s="87"/>
      <c r="O5"/>
    </row>
    <row r="6" spans="2:15">
      <c r="B6" s="21" t="s">
        <v>324</v>
      </c>
      <c r="E6" s="2"/>
      <c r="N6" s="25" t="s">
        <v>325</v>
      </c>
      <c r="O6"/>
    </row>
    <row r="7" spans="2:15">
      <c r="B7" s="2" t="s">
        <v>322</v>
      </c>
      <c r="C7" s="87">
        <v>1</v>
      </c>
      <c r="D7" s="87">
        <v>2</v>
      </c>
      <c r="E7" s="87">
        <v>3</v>
      </c>
      <c r="F7" s="87">
        <v>4</v>
      </c>
      <c r="G7" s="87">
        <v>5</v>
      </c>
      <c r="H7" s="87">
        <v>6</v>
      </c>
      <c r="I7" s="87">
        <v>7</v>
      </c>
      <c r="J7" s="87">
        <v>8</v>
      </c>
      <c r="K7" s="87">
        <v>9</v>
      </c>
      <c r="L7" s="87">
        <v>10</v>
      </c>
      <c r="N7" s="87"/>
      <c r="O7"/>
    </row>
    <row r="8" spans="2:15">
      <c r="B8" s="18" t="s">
        <v>323</v>
      </c>
      <c r="C8" s="4">
        <f>C7*1000</f>
        <v>1000</v>
      </c>
      <c r="D8" s="4">
        <f t="shared" ref="D8:L8" si="1">D7*1000</f>
        <v>2000</v>
      </c>
      <c r="E8" s="4">
        <f t="shared" si="1"/>
        <v>3000</v>
      </c>
      <c r="F8" s="4">
        <f t="shared" si="1"/>
        <v>4000</v>
      </c>
      <c r="G8" s="4">
        <f t="shared" si="1"/>
        <v>5000</v>
      </c>
      <c r="H8" s="4">
        <f t="shared" si="1"/>
        <v>6000</v>
      </c>
      <c r="I8" s="4">
        <f t="shared" si="1"/>
        <v>7000</v>
      </c>
      <c r="J8" s="4">
        <f t="shared" si="1"/>
        <v>8000</v>
      </c>
      <c r="K8" s="4">
        <f t="shared" si="1"/>
        <v>9000</v>
      </c>
      <c r="L8" s="4">
        <f t="shared" si="1"/>
        <v>10000</v>
      </c>
      <c r="N8" s="24">
        <f>N7*C8</f>
        <v>0</v>
      </c>
      <c r="O8"/>
    </row>
    <row r="9" spans="2:15">
      <c r="N9" s="87"/>
      <c r="O9"/>
    </row>
    <row r="10" spans="2:15">
      <c r="B10" s="21" t="s">
        <v>326</v>
      </c>
      <c r="E10" s="2"/>
      <c r="N10" s="25" t="s">
        <v>325</v>
      </c>
      <c r="O10"/>
    </row>
    <row r="11" spans="2:15">
      <c r="B11" s="2" t="s">
        <v>322</v>
      </c>
      <c r="C11" s="87">
        <v>1</v>
      </c>
      <c r="D11" s="87">
        <v>2</v>
      </c>
      <c r="E11" s="87">
        <v>3</v>
      </c>
      <c r="F11" s="87">
        <v>4</v>
      </c>
      <c r="G11" s="87">
        <v>5</v>
      </c>
      <c r="H11" s="87">
        <v>6</v>
      </c>
      <c r="I11" s="87">
        <v>7</v>
      </c>
      <c r="J11" s="87">
        <v>8</v>
      </c>
      <c r="K11" s="87">
        <v>9</v>
      </c>
      <c r="L11" s="87">
        <v>10</v>
      </c>
      <c r="N11" s="87">
        <v>0</v>
      </c>
      <c r="O11"/>
    </row>
    <row r="12" spans="2:15">
      <c r="B12" s="18" t="s">
        <v>323</v>
      </c>
      <c r="C12" s="4">
        <f>C11*1000+400</f>
        <v>1400</v>
      </c>
      <c r="D12" s="4">
        <f t="shared" ref="D12:L12" si="2">D11*1000+400</f>
        <v>2400</v>
      </c>
      <c r="E12" s="4">
        <f t="shared" si="2"/>
        <v>3400</v>
      </c>
      <c r="F12" s="4">
        <f t="shared" si="2"/>
        <v>4400</v>
      </c>
      <c r="G12" s="4">
        <f t="shared" si="2"/>
        <v>5400</v>
      </c>
      <c r="H12" s="4">
        <f t="shared" si="2"/>
        <v>6400</v>
      </c>
      <c r="I12" s="4">
        <f t="shared" si="2"/>
        <v>7400</v>
      </c>
      <c r="J12" s="4">
        <f t="shared" si="2"/>
        <v>8400</v>
      </c>
      <c r="K12" s="4">
        <f t="shared" si="2"/>
        <v>9400</v>
      </c>
      <c r="L12" s="4">
        <f t="shared" si="2"/>
        <v>10400</v>
      </c>
      <c r="N12" s="24">
        <f>N11*C12</f>
        <v>0</v>
      </c>
      <c r="O12"/>
    </row>
    <row r="13" spans="2:15">
      <c r="B13" s="18"/>
      <c r="C13" s="4"/>
      <c r="D13" s="4"/>
      <c r="E13" s="4"/>
      <c r="F13" s="4"/>
      <c r="G13" s="4"/>
      <c r="H13" s="4"/>
      <c r="I13" s="4"/>
      <c r="J13" s="4"/>
      <c r="K13" s="4"/>
      <c r="L13" s="4"/>
      <c r="N13" s="87"/>
      <c r="O13"/>
    </row>
    <row r="14" spans="2:15">
      <c r="B14" s="21" t="s">
        <v>327</v>
      </c>
      <c r="E14" s="2"/>
      <c r="N14" s="25" t="s">
        <v>325</v>
      </c>
      <c r="O14"/>
    </row>
    <row r="15" spans="2:15">
      <c r="B15" s="2" t="s">
        <v>322</v>
      </c>
      <c r="C15" s="87">
        <v>1</v>
      </c>
      <c r="D15" s="87">
        <v>2</v>
      </c>
      <c r="E15" s="87">
        <v>3</v>
      </c>
      <c r="F15" s="87">
        <v>4</v>
      </c>
      <c r="G15" s="87">
        <v>5</v>
      </c>
      <c r="H15" s="87">
        <v>6</v>
      </c>
      <c r="I15" s="87">
        <v>7</v>
      </c>
      <c r="J15" s="87">
        <v>8</v>
      </c>
      <c r="K15" s="87">
        <v>9</v>
      </c>
      <c r="L15" s="87">
        <v>10</v>
      </c>
      <c r="N15" s="87">
        <v>0</v>
      </c>
      <c r="O15"/>
    </row>
    <row r="16" spans="2:15">
      <c r="B16" s="18" t="s">
        <v>323</v>
      </c>
      <c r="C16" s="4">
        <f>C15*1000+900</f>
        <v>1900</v>
      </c>
      <c r="D16" s="4">
        <f t="shared" ref="D16:L16" si="3">D15*1000+900</f>
        <v>2900</v>
      </c>
      <c r="E16" s="4">
        <f t="shared" si="3"/>
        <v>3900</v>
      </c>
      <c r="F16" s="4">
        <f t="shared" si="3"/>
        <v>4900</v>
      </c>
      <c r="G16" s="4">
        <f t="shared" si="3"/>
        <v>5900</v>
      </c>
      <c r="H16" s="4">
        <f t="shared" si="3"/>
        <v>6900</v>
      </c>
      <c r="I16" s="4">
        <f t="shared" si="3"/>
        <v>7900</v>
      </c>
      <c r="J16" s="4">
        <f t="shared" si="3"/>
        <v>8900</v>
      </c>
      <c r="K16" s="4">
        <f t="shared" si="3"/>
        <v>9900</v>
      </c>
      <c r="L16" s="4">
        <f t="shared" si="3"/>
        <v>10900</v>
      </c>
      <c r="N16" s="24">
        <f>N15*C16</f>
        <v>0</v>
      </c>
      <c r="O16"/>
    </row>
    <row r="17" spans="2:15">
      <c r="O17"/>
    </row>
    <row r="18" spans="2:15">
      <c r="B18" s="21" t="s">
        <v>328</v>
      </c>
      <c r="N18" s="25" t="s">
        <v>325</v>
      </c>
      <c r="O18"/>
    </row>
    <row r="19" spans="2:15">
      <c r="B19" s="2" t="s">
        <v>322</v>
      </c>
      <c r="C19" s="87">
        <v>1</v>
      </c>
      <c r="D19" s="87">
        <v>2</v>
      </c>
      <c r="E19" s="87">
        <v>3</v>
      </c>
      <c r="F19" s="87">
        <v>4</v>
      </c>
      <c r="G19" s="87">
        <v>5</v>
      </c>
      <c r="H19" s="87">
        <v>6</v>
      </c>
      <c r="I19" s="87">
        <v>7</v>
      </c>
      <c r="J19" s="87">
        <v>8</v>
      </c>
      <c r="K19" s="87">
        <v>9</v>
      </c>
      <c r="L19" s="87">
        <v>10</v>
      </c>
      <c r="N19" s="87">
        <v>0</v>
      </c>
      <c r="O19"/>
    </row>
    <row r="20" spans="2:15">
      <c r="B20" s="18" t="s">
        <v>323</v>
      </c>
      <c r="C20" s="4">
        <f>C19*1500</f>
        <v>1500</v>
      </c>
      <c r="D20" s="4">
        <f t="shared" ref="D20:L20" si="4">D19*1500</f>
        <v>3000</v>
      </c>
      <c r="E20" s="4">
        <f t="shared" si="4"/>
        <v>4500</v>
      </c>
      <c r="F20" s="4">
        <f t="shared" si="4"/>
        <v>6000</v>
      </c>
      <c r="G20" s="4">
        <f t="shared" si="4"/>
        <v>7500</v>
      </c>
      <c r="H20" s="4">
        <f t="shared" si="4"/>
        <v>9000</v>
      </c>
      <c r="I20" s="4">
        <f t="shared" si="4"/>
        <v>10500</v>
      </c>
      <c r="J20" s="4">
        <f t="shared" si="4"/>
        <v>12000</v>
      </c>
      <c r="K20" s="4">
        <f t="shared" si="4"/>
        <v>13500</v>
      </c>
      <c r="L20" s="4">
        <f t="shared" si="4"/>
        <v>15000</v>
      </c>
      <c r="N20" s="24">
        <f>N19*C20</f>
        <v>0</v>
      </c>
      <c r="O20"/>
    </row>
    <row r="21" spans="2:15">
      <c r="B21" s="18"/>
      <c r="C21" s="4"/>
      <c r="D21" s="4"/>
      <c r="E21" s="4"/>
      <c r="F21" s="4"/>
      <c r="G21" s="4"/>
      <c r="H21" s="4"/>
      <c r="I21" s="4"/>
      <c r="J21" s="4"/>
      <c r="K21" s="4"/>
      <c r="L21" s="4"/>
      <c r="N21" s="87"/>
      <c r="O21"/>
    </row>
    <row r="22" spans="2:15">
      <c r="B22" s="21" t="s">
        <v>329</v>
      </c>
      <c r="N22" s="25" t="s">
        <v>325</v>
      </c>
      <c r="O22"/>
    </row>
    <row r="23" spans="2:15">
      <c r="B23" s="2" t="s">
        <v>322</v>
      </c>
      <c r="C23" s="87">
        <v>1</v>
      </c>
      <c r="D23" s="87">
        <v>2</v>
      </c>
      <c r="E23" s="87">
        <v>3</v>
      </c>
      <c r="F23" s="87">
        <v>4</v>
      </c>
      <c r="G23" s="87">
        <v>5</v>
      </c>
      <c r="H23" s="87">
        <v>6</v>
      </c>
      <c r="I23" s="87">
        <v>7</v>
      </c>
      <c r="J23" s="87">
        <v>8</v>
      </c>
      <c r="K23" s="87">
        <v>9</v>
      </c>
      <c r="L23" s="87">
        <v>10</v>
      </c>
      <c r="N23" s="87">
        <v>0</v>
      </c>
      <c r="O23"/>
    </row>
    <row r="24" spans="2:15">
      <c r="B24" s="18" t="s">
        <v>323</v>
      </c>
      <c r="C24" s="4">
        <f>C23*1500*1.4</f>
        <v>2100</v>
      </c>
      <c r="D24" s="4">
        <f t="shared" ref="D24:L24" si="5">D23*1500*1.4</f>
        <v>4200</v>
      </c>
      <c r="E24" s="4">
        <f t="shared" si="5"/>
        <v>6300</v>
      </c>
      <c r="F24" s="4">
        <f t="shared" si="5"/>
        <v>8400</v>
      </c>
      <c r="G24" s="4">
        <f t="shared" si="5"/>
        <v>10500</v>
      </c>
      <c r="H24" s="4">
        <f t="shared" si="5"/>
        <v>12600</v>
      </c>
      <c r="I24" s="4">
        <f t="shared" si="5"/>
        <v>14699.999999999998</v>
      </c>
      <c r="J24" s="4">
        <f t="shared" si="5"/>
        <v>16800</v>
      </c>
      <c r="K24" s="4">
        <f t="shared" si="5"/>
        <v>18900</v>
      </c>
      <c r="L24" s="4">
        <f t="shared" si="5"/>
        <v>21000</v>
      </c>
      <c r="N24" s="24">
        <f>N23*C24</f>
        <v>0</v>
      </c>
      <c r="O24"/>
    </row>
    <row r="25" spans="2:15">
      <c r="B25" s="18"/>
      <c r="C25" s="4"/>
      <c r="D25" s="4"/>
      <c r="E25" s="4"/>
      <c r="F25" s="4"/>
      <c r="G25" s="4"/>
      <c r="H25" s="4"/>
      <c r="I25" s="4"/>
      <c r="J25" s="4"/>
      <c r="K25" s="4"/>
      <c r="L25" s="4"/>
      <c r="N25" s="87"/>
      <c r="O25"/>
    </row>
    <row r="26" spans="2:15">
      <c r="B26" s="21" t="s">
        <v>330</v>
      </c>
      <c r="N26" s="25" t="s">
        <v>331</v>
      </c>
      <c r="O26"/>
    </row>
    <row r="27" spans="2:15">
      <c r="B27" s="2" t="s">
        <v>332</v>
      </c>
      <c r="C27" s="87">
        <v>1</v>
      </c>
      <c r="D27" s="87">
        <v>2</v>
      </c>
      <c r="E27" s="87">
        <v>3</v>
      </c>
      <c r="F27" s="87">
        <v>4</v>
      </c>
      <c r="G27" s="87">
        <v>5</v>
      </c>
      <c r="H27" s="87">
        <v>6</v>
      </c>
      <c r="I27" s="87">
        <v>7</v>
      </c>
      <c r="J27" s="87">
        <v>8</v>
      </c>
      <c r="K27" s="87">
        <v>9</v>
      </c>
      <c r="L27" s="87">
        <v>10</v>
      </c>
      <c r="N27" s="87">
        <v>0</v>
      </c>
      <c r="O27"/>
    </row>
    <row r="28" spans="2:15">
      <c r="B28" s="18" t="s">
        <v>333</v>
      </c>
      <c r="C28" s="4">
        <f>C27*1800+700+500</f>
        <v>3000</v>
      </c>
      <c r="D28" s="4">
        <f>D27*1800+700+500</f>
        <v>4800</v>
      </c>
      <c r="E28" s="4">
        <f t="shared" ref="E28:L28" si="6">E27*1800+700+500</f>
        <v>6600</v>
      </c>
      <c r="F28" s="4">
        <f t="shared" si="6"/>
        <v>8400</v>
      </c>
      <c r="G28" s="4">
        <f t="shared" si="6"/>
        <v>10200</v>
      </c>
      <c r="H28" s="4">
        <f t="shared" si="6"/>
        <v>12000</v>
      </c>
      <c r="I28" s="4">
        <f t="shared" si="6"/>
        <v>13800</v>
      </c>
      <c r="J28" s="4">
        <f t="shared" si="6"/>
        <v>15600</v>
      </c>
      <c r="K28" s="4">
        <f t="shared" si="6"/>
        <v>17400</v>
      </c>
      <c r="L28" s="4">
        <f t="shared" si="6"/>
        <v>19200</v>
      </c>
      <c r="N28" s="24">
        <f>N27*1800+700+500</f>
        <v>1200</v>
      </c>
      <c r="O28"/>
    </row>
    <row r="29" spans="2:15">
      <c r="N29" s="87"/>
      <c r="O29"/>
    </row>
    <row r="30" spans="2:15">
      <c r="B30" s="21" t="s">
        <v>334</v>
      </c>
      <c r="N30" s="25" t="s">
        <v>331</v>
      </c>
      <c r="O30"/>
    </row>
    <row r="31" spans="2:15">
      <c r="B31" s="2" t="s">
        <v>332</v>
      </c>
      <c r="C31" s="87">
        <v>1</v>
      </c>
      <c r="D31" s="87">
        <v>2</v>
      </c>
      <c r="E31" s="87">
        <v>3</v>
      </c>
      <c r="F31" s="87">
        <v>4</v>
      </c>
      <c r="G31" s="87">
        <v>5</v>
      </c>
      <c r="H31" s="87">
        <v>6</v>
      </c>
      <c r="I31" s="87">
        <v>7</v>
      </c>
      <c r="J31" s="87">
        <v>8</v>
      </c>
      <c r="K31" s="87">
        <v>9</v>
      </c>
      <c r="L31" s="87">
        <v>10</v>
      </c>
      <c r="N31" s="87">
        <v>0</v>
      </c>
      <c r="O31"/>
    </row>
    <row r="32" spans="2:15">
      <c r="B32" s="18" t="s">
        <v>333</v>
      </c>
      <c r="C32" s="4">
        <f>C31*3600+1400+500</f>
        <v>5500</v>
      </c>
      <c r="D32" s="4">
        <f t="shared" ref="D32:L32" si="7">D31*3600+1400+500</f>
        <v>9100</v>
      </c>
      <c r="E32" s="4">
        <f t="shared" si="7"/>
        <v>12700</v>
      </c>
      <c r="F32" s="4">
        <f t="shared" si="7"/>
        <v>16300</v>
      </c>
      <c r="G32" s="4">
        <f t="shared" si="7"/>
        <v>19900</v>
      </c>
      <c r="H32" s="4">
        <f t="shared" si="7"/>
        <v>23500</v>
      </c>
      <c r="I32" s="4">
        <f t="shared" si="7"/>
        <v>27100</v>
      </c>
      <c r="J32" s="4">
        <f t="shared" si="7"/>
        <v>30700</v>
      </c>
      <c r="K32" s="4">
        <f t="shared" si="7"/>
        <v>34300</v>
      </c>
      <c r="L32" s="4">
        <f t="shared" si="7"/>
        <v>37900</v>
      </c>
      <c r="N32" s="19">
        <f>N31*3600+1400+500</f>
        <v>1900</v>
      </c>
      <c r="O32" s="87"/>
    </row>
    <row r="33" spans="2:19">
      <c r="N33" s="87"/>
      <c r="O33" s="87"/>
    </row>
    <row r="34" spans="2:19">
      <c r="B34" s="4" t="s">
        <v>335</v>
      </c>
      <c r="N34" s="87"/>
      <c r="O34" s="87"/>
    </row>
    <row r="35" spans="2:19">
      <c r="B35" s="4" t="s">
        <v>336</v>
      </c>
      <c r="N35" s="87"/>
      <c r="O35" s="87"/>
    </row>
    <row r="36" spans="2:19">
      <c r="M36" s="31"/>
      <c r="N36" s="31"/>
      <c r="O36" s="87"/>
    </row>
    <row r="37" spans="2:19">
      <c r="H37" s="2" t="s">
        <v>337</v>
      </c>
      <c r="I37" s="27">
        <f>N28+N24+N20+N12+N8+N4+N16</f>
        <v>1200</v>
      </c>
      <c r="J37" s="28">
        <f>I37*1.16</f>
        <v>1392</v>
      </c>
      <c r="L37" s="2" t="s">
        <v>338</v>
      </c>
      <c r="M37" s="32">
        <f>I37+2000</f>
        <v>3200</v>
      </c>
      <c r="N37" s="28">
        <f>M37*1.16</f>
        <v>3711.9999999999995</v>
      </c>
      <c r="O37" s="87"/>
      <c r="S37" s="4"/>
    </row>
    <row r="38" spans="2:19">
      <c r="H38" s="2"/>
      <c r="I38" s="29"/>
      <c r="J38" s="30"/>
      <c r="M38" s="31"/>
      <c r="N38" s="30"/>
      <c r="O38" s="87"/>
    </row>
    <row r="39" spans="2:19">
      <c r="H39" s="2" t="s">
        <v>339</v>
      </c>
      <c r="I39" s="27">
        <f>N32+N24+N20+N12+N8+N4+N16</f>
        <v>1900</v>
      </c>
      <c r="J39" s="28">
        <f>I39*1.16</f>
        <v>2204</v>
      </c>
      <c r="L39" s="2" t="s">
        <v>338</v>
      </c>
      <c r="M39" s="32">
        <v>0</v>
      </c>
      <c r="N39" s="33">
        <f>M39*1.16</f>
        <v>0</v>
      </c>
      <c r="O39" s="87"/>
    </row>
    <row r="40" spans="2:19">
      <c r="H40" s="2"/>
      <c r="I40" s="29"/>
      <c r="J40" s="30"/>
      <c r="M40" s="31"/>
      <c r="N40" s="33"/>
      <c r="O40" s="87"/>
    </row>
    <row r="41" spans="2:19">
      <c r="H41" s="2" t="s">
        <v>340</v>
      </c>
      <c r="I41" s="27">
        <f>N4+N8+N12+N20+N24+N16</f>
        <v>0</v>
      </c>
      <c r="J41" s="28">
        <f>I41*1.16</f>
        <v>0</v>
      </c>
      <c r="L41" s="2" t="s">
        <v>338</v>
      </c>
      <c r="M41" s="32">
        <f>I41+3000</f>
        <v>3000</v>
      </c>
      <c r="N41" s="33">
        <f>M41*1.16</f>
        <v>3479.9999999999995</v>
      </c>
      <c r="O41" s="87"/>
    </row>
    <row r="42" spans="2:19">
      <c r="N42" s="33"/>
      <c r="O42" s="87"/>
    </row>
    <row r="43" spans="2:19">
      <c r="N43" s="33"/>
      <c r="O43" s="87"/>
    </row>
    <row r="44" spans="2:19" ht="18.600000000000001">
      <c r="L44" s="49" t="s">
        <v>341</v>
      </c>
      <c r="M44" s="23">
        <f>M41*0.8</f>
        <v>2400</v>
      </c>
      <c r="N44" s="33">
        <f t="shared" ref="N44" si="8">M44*1.16</f>
        <v>2784</v>
      </c>
      <c r="O44" s="8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1486-6870-471B-9900-64E1D4B2B104}">
  <sheetPr filterMode="1"/>
  <dimension ref="A1:M22"/>
  <sheetViews>
    <sheetView zoomScaleNormal="100" workbookViewId="0">
      <pane ySplit="1" topLeftCell="A2" activePane="bottomLeft" state="frozen"/>
      <selection pane="bottomLeft" activeCell="E27" sqref="E27"/>
    </sheetView>
  </sheetViews>
  <sheetFormatPr defaultColWidth="11.42578125" defaultRowHeight="14.45"/>
  <cols>
    <col min="1" max="1" width="29.85546875" bestFit="1" customWidth="1"/>
    <col min="2" max="2" width="17.42578125" style="10" bestFit="1" customWidth="1"/>
    <col min="3" max="3" width="12.85546875" style="54" bestFit="1" customWidth="1"/>
    <col min="4" max="4" width="14.7109375" bestFit="1" customWidth="1"/>
    <col min="5" max="5" width="8.42578125" bestFit="1" customWidth="1"/>
    <col min="6" max="7" width="13.42578125" bestFit="1" customWidth="1"/>
    <col min="8" max="8" width="19.85546875" bestFit="1" customWidth="1"/>
    <col min="9" max="9" width="14.85546875" bestFit="1" customWidth="1"/>
    <col min="10" max="10" width="15.42578125" style="18" bestFit="1" customWidth="1"/>
    <col min="11" max="11" width="8.42578125" style="50" bestFit="1" customWidth="1"/>
    <col min="12" max="12" width="16.42578125" style="4" bestFit="1" customWidth="1"/>
    <col min="13" max="13" width="11.42578125" style="4" bestFit="1" customWidth="1"/>
  </cols>
  <sheetData>
    <row r="1" spans="1:13" s="48" customFormat="1" ht="18.600000000000001">
      <c r="A1" s="46" t="s">
        <v>34</v>
      </c>
      <c r="B1" s="46" t="s">
        <v>342</v>
      </c>
      <c r="C1" s="47" t="s">
        <v>343</v>
      </c>
      <c r="D1" s="46" t="s">
        <v>72</v>
      </c>
      <c r="E1" s="46" t="s">
        <v>344</v>
      </c>
      <c r="F1" s="46" t="s">
        <v>62</v>
      </c>
      <c r="G1" s="46" t="s">
        <v>63</v>
      </c>
      <c r="H1" s="46" t="s">
        <v>69</v>
      </c>
      <c r="I1" s="46" t="s">
        <v>345</v>
      </c>
      <c r="J1" s="47" t="s">
        <v>346</v>
      </c>
      <c r="K1" s="46" t="s">
        <v>332</v>
      </c>
      <c r="L1" s="47" t="s">
        <v>347</v>
      </c>
      <c r="M1" s="47" t="s">
        <v>28</v>
      </c>
    </row>
    <row r="2" spans="1:13" hidden="1">
      <c r="A2" s="55" t="s">
        <v>348</v>
      </c>
      <c r="C2" s="54">
        <v>0</v>
      </c>
      <c r="D2" s="10" t="s">
        <v>349</v>
      </c>
      <c r="E2" s="10" t="s">
        <v>350</v>
      </c>
      <c r="F2" s="10" t="s">
        <v>351</v>
      </c>
      <c r="H2" s="10" t="s">
        <v>128</v>
      </c>
      <c r="I2" s="10" t="s">
        <v>352</v>
      </c>
      <c r="K2" s="87">
        <v>2</v>
      </c>
      <c r="L2" s="4">
        <f>K2*500</f>
        <v>1000</v>
      </c>
      <c r="M2" s="4">
        <f>J2+L2</f>
        <v>1000</v>
      </c>
    </row>
    <row r="3" spans="1:13" hidden="1">
      <c r="A3" s="55" t="s">
        <v>348</v>
      </c>
      <c r="C3" s="54">
        <v>0</v>
      </c>
      <c r="D3" s="10" t="s">
        <v>349</v>
      </c>
      <c r="E3" s="10" t="s">
        <v>350</v>
      </c>
      <c r="F3" s="10" t="s">
        <v>351</v>
      </c>
      <c r="H3" s="10" t="s">
        <v>122</v>
      </c>
      <c r="I3" s="10" t="s">
        <v>86</v>
      </c>
      <c r="J3" s="18">
        <v>1000</v>
      </c>
      <c r="K3" s="87">
        <v>2</v>
      </c>
      <c r="L3" s="4">
        <f t="shared" ref="L3:L22" si="0">K3*500</f>
        <v>1000</v>
      </c>
      <c r="M3" s="4">
        <f t="shared" ref="M3:M22" si="1">J3+L3</f>
        <v>2000</v>
      </c>
    </row>
    <row r="4" spans="1:13" hidden="1">
      <c r="A4" s="55" t="s">
        <v>287</v>
      </c>
      <c r="C4" s="54">
        <v>0</v>
      </c>
      <c r="D4" s="10" t="s">
        <v>262</v>
      </c>
      <c r="E4" s="10" t="s">
        <v>353</v>
      </c>
      <c r="F4" s="10" t="s">
        <v>354</v>
      </c>
      <c r="H4" s="10" t="s">
        <v>128</v>
      </c>
      <c r="I4" s="10" t="s">
        <v>352</v>
      </c>
      <c r="K4" s="87">
        <v>2</v>
      </c>
      <c r="L4" s="4">
        <f t="shared" si="0"/>
        <v>1000</v>
      </c>
      <c r="M4" s="4">
        <f t="shared" si="1"/>
        <v>1000</v>
      </c>
    </row>
    <row r="5" spans="1:13" hidden="1">
      <c r="A5" s="55" t="s">
        <v>287</v>
      </c>
      <c r="C5" s="54">
        <v>0</v>
      </c>
      <c r="D5" s="10" t="s">
        <v>262</v>
      </c>
      <c r="E5" s="10" t="s">
        <v>353</v>
      </c>
      <c r="F5" s="10" t="s">
        <v>354</v>
      </c>
      <c r="H5" s="10" t="s">
        <v>122</v>
      </c>
      <c r="I5" s="10" t="s">
        <v>86</v>
      </c>
      <c r="J5" s="18">
        <v>1000</v>
      </c>
      <c r="K5" s="87">
        <v>2</v>
      </c>
      <c r="L5" s="4">
        <f t="shared" si="0"/>
        <v>1000</v>
      </c>
      <c r="M5" s="4">
        <f t="shared" si="1"/>
        <v>2000</v>
      </c>
    </row>
    <row r="6" spans="1:13" hidden="1">
      <c r="A6" s="55" t="s">
        <v>355</v>
      </c>
      <c r="C6" s="54">
        <v>0</v>
      </c>
      <c r="D6" s="10" t="s">
        <v>356</v>
      </c>
      <c r="E6" s="10" t="s">
        <v>353</v>
      </c>
      <c r="F6" s="10" t="s">
        <v>357</v>
      </c>
      <c r="H6" s="10" t="s">
        <v>128</v>
      </c>
      <c r="I6" s="10" t="s">
        <v>352</v>
      </c>
      <c r="K6" s="87">
        <v>2</v>
      </c>
      <c r="L6" s="4">
        <f t="shared" si="0"/>
        <v>1000</v>
      </c>
      <c r="M6" s="4">
        <f t="shared" si="1"/>
        <v>1000</v>
      </c>
    </row>
    <row r="7" spans="1:13" hidden="1">
      <c r="A7" s="55" t="s">
        <v>355</v>
      </c>
      <c r="C7" s="54">
        <v>0</v>
      </c>
      <c r="D7" s="10" t="s">
        <v>356</v>
      </c>
      <c r="E7" s="10" t="s">
        <v>353</v>
      </c>
      <c r="F7" s="10" t="s">
        <v>357</v>
      </c>
      <c r="H7" s="10" t="s">
        <v>122</v>
      </c>
      <c r="I7" s="10" t="s">
        <v>86</v>
      </c>
      <c r="J7" s="18">
        <v>1000</v>
      </c>
      <c r="K7" s="87">
        <v>10</v>
      </c>
      <c r="L7" s="4">
        <f t="shared" si="0"/>
        <v>5000</v>
      </c>
      <c r="M7" s="4">
        <f t="shared" si="1"/>
        <v>6000</v>
      </c>
    </row>
    <row r="8" spans="1:13" hidden="1">
      <c r="A8" s="55" t="s">
        <v>358</v>
      </c>
      <c r="C8" s="54">
        <v>0</v>
      </c>
      <c r="D8" s="10" t="s">
        <v>349</v>
      </c>
      <c r="E8" s="10" t="s">
        <v>359</v>
      </c>
      <c r="F8" s="10" t="s">
        <v>360</v>
      </c>
      <c r="H8" s="10" t="s">
        <v>122</v>
      </c>
      <c r="I8" s="10" t="s">
        <v>86</v>
      </c>
      <c r="J8" s="18">
        <v>1000</v>
      </c>
      <c r="K8" s="87">
        <v>1</v>
      </c>
      <c r="L8" s="4">
        <f t="shared" si="0"/>
        <v>500</v>
      </c>
      <c r="M8" s="4">
        <f t="shared" si="1"/>
        <v>1500</v>
      </c>
    </row>
    <row r="9" spans="1:13" hidden="1">
      <c r="A9" s="55" t="s">
        <v>118</v>
      </c>
      <c r="C9" s="54">
        <v>0</v>
      </c>
      <c r="D9" s="10" t="s">
        <v>361</v>
      </c>
      <c r="E9" s="10" t="s">
        <v>359</v>
      </c>
      <c r="F9" s="10" t="s">
        <v>354</v>
      </c>
      <c r="H9" s="10" t="s">
        <v>122</v>
      </c>
      <c r="I9" s="10" t="s">
        <v>86</v>
      </c>
      <c r="J9" s="18">
        <v>1000</v>
      </c>
      <c r="K9" s="87">
        <v>1</v>
      </c>
      <c r="L9" s="4">
        <f t="shared" si="0"/>
        <v>500</v>
      </c>
      <c r="M9" s="4">
        <f t="shared" si="1"/>
        <v>1500</v>
      </c>
    </row>
    <row r="10" spans="1:13" hidden="1">
      <c r="A10" s="55" t="s">
        <v>362</v>
      </c>
      <c r="C10" s="54">
        <v>0</v>
      </c>
      <c r="D10" s="10" t="s">
        <v>363</v>
      </c>
      <c r="E10" s="10" t="s">
        <v>359</v>
      </c>
      <c r="F10" s="10" t="s">
        <v>364</v>
      </c>
      <c r="H10" s="10" t="s">
        <v>122</v>
      </c>
      <c r="I10" s="10" t="s">
        <v>86</v>
      </c>
      <c r="J10" s="18">
        <v>500</v>
      </c>
      <c r="K10" s="87">
        <v>0</v>
      </c>
      <c r="L10" s="4">
        <f t="shared" si="0"/>
        <v>0</v>
      </c>
      <c r="M10" s="4">
        <f t="shared" si="1"/>
        <v>500</v>
      </c>
    </row>
    <row r="11" spans="1:13" hidden="1">
      <c r="A11" s="55" t="s">
        <v>298</v>
      </c>
      <c r="C11" s="54">
        <v>0</v>
      </c>
      <c r="D11" s="10" t="s">
        <v>363</v>
      </c>
      <c r="E11" s="10" t="s">
        <v>359</v>
      </c>
      <c r="F11" s="10" t="s">
        <v>365</v>
      </c>
      <c r="H11" s="10" t="s">
        <v>122</v>
      </c>
      <c r="I11" s="10" t="s">
        <v>86</v>
      </c>
      <c r="J11" s="18">
        <v>500</v>
      </c>
      <c r="K11" s="87">
        <v>0</v>
      </c>
      <c r="L11" s="4">
        <f t="shared" si="0"/>
        <v>0</v>
      </c>
      <c r="M11" s="4">
        <f t="shared" si="1"/>
        <v>500</v>
      </c>
    </row>
    <row r="12" spans="1:13" hidden="1">
      <c r="A12" s="55" t="s">
        <v>226</v>
      </c>
      <c r="C12" s="54">
        <v>0</v>
      </c>
      <c r="D12" s="10" t="s">
        <v>366</v>
      </c>
      <c r="E12" s="10" t="s">
        <v>359</v>
      </c>
      <c r="F12" s="10" t="s">
        <v>367</v>
      </c>
      <c r="H12" s="10" t="s">
        <v>122</v>
      </c>
      <c r="I12" s="10" t="s">
        <v>86</v>
      </c>
      <c r="J12" s="18">
        <v>800</v>
      </c>
      <c r="K12" s="87">
        <v>0</v>
      </c>
      <c r="L12" s="4">
        <f t="shared" si="0"/>
        <v>0</v>
      </c>
      <c r="M12" s="4">
        <f t="shared" si="1"/>
        <v>800</v>
      </c>
    </row>
    <row r="13" spans="1:13">
      <c r="A13" s="55" t="s">
        <v>276</v>
      </c>
      <c r="C13" s="54">
        <v>0</v>
      </c>
      <c r="D13" s="10" t="s">
        <v>356</v>
      </c>
      <c r="E13" s="10" t="s">
        <v>368</v>
      </c>
      <c r="H13" s="10" t="s">
        <v>122</v>
      </c>
      <c r="I13" s="10" t="s">
        <v>86</v>
      </c>
      <c r="J13" s="18">
        <v>1000</v>
      </c>
      <c r="K13" s="87">
        <v>0</v>
      </c>
      <c r="L13" s="4">
        <f t="shared" si="0"/>
        <v>0</v>
      </c>
      <c r="M13" s="4">
        <f t="shared" si="1"/>
        <v>1000</v>
      </c>
    </row>
    <row r="14" spans="1:13">
      <c r="A14" s="55" t="s">
        <v>239</v>
      </c>
      <c r="C14" s="54">
        <v>0</v>
      </c>
      <c r="D14" s="10" t="s">
        <v>356</v>
      </c>
      <c r="E14" s="10" t="s">
        <v>368</v>
      </c>
      <c r="H14" s="10" t="s">
        <v>122</v>
      </c>
      <c r="I14" s="10" t="s">
        <v>86</v>
      </c>
      <c r="J14" s="18">
        <v>1000</v>
      </c>
      <c r="K14" s="50">
        <v>0</v>
      </c>
      <c r="L14" s="4">
        <f t="shared" si="0"/>
        <v>0</v>
      </c>
      <c r="M14" s="4">
        <f t="shared" si="1"/>
        <v>1000</v>
      </c>
    </row>
    <row r="15" spans="1:13">
      <c r="A15" s="55" t="s">
        <v>355</v>
      </c>
      <c r="C15" s="54">
        <v>0</v>
      </c>
      <c r="D15" s="10" t="s">
        <v>356</v>
      </c>
      <c r="E15" s="10" t="s">
        <v>368</v>
      </c>
      <c r="H15" s="10" t="s">
        <v>122</v>
      </c>
      <c r="I15" s="10" t="s">
        <v>86</v>
      </c>
      <c r="J15" s="18">
        <v>1000</v>
      </c>
      <c r="K15" s="50">
        <v>7</v>
      </c>
      <c r="L15" s="4">
        <f t="shared" si="0"/>
        <v>3500</v>
      </c>
      <c r="M15" s="4">
        <f t="shared" si="1"/>
        <v>4500</v>
      </c>
    </row>
    <row r="16" spans="1:13">
      <c r="A16" s="55" t="s">
        <v>276</v>
      </c>
      <c r="C16" s="54">
        <v>0</v>
      </c>
      <c r="D16" s="10" t="s">
        <v>356</v>
      </c>
      <c r="E16" s="10" t="s">
        <v>368</v>
      </c>
      <c r="H16" s="10" t="s">
        <v>128</v>
      </c>
      <c r="I16" s="10" t="s">
        <v>352</v>
      </c>
      <c r="J16" s="18">
        <v>0</v>
      </c>
      <c r="K16" s="50">
        <v>0</v>
      </c>
      <c r="L16" s="4">
        <f t="shared" si="0"/>
        <v>0</v>
      </c>
      <c r="M16" s="4">
        <f t="shared" si="1"/>
        <v>0</v>
      </c>
    </row>
    <row r="17" spans="1:13">
      <c r="A17" s="55" t="s">
        <v>239</v>
      </c>
      <c r="C17" s="54">
        <v>0</v>
      </c>
      <c r="D17" s="10" t="s">
        <v>356</v>
      </c>
      <c r="E17" s="10" t="s">
        <v>368</v>
      </c>
      <c r="H17" s="10" t="s">
        <v>128</v>
      </c>
      <c r="I17" s="10" t="s">
        <v>352</v>
      </c>
      <c r="J17" s="18">
        <v>0</v>
      </c>
      <c r="K17" s="50">
        <v>0</v>
      </c>
      <c r="L17" s="4">
        <f t="shared" si="0"/>
        <v>0</v>
      </c>
      <c r="M17" s="4">
        <f t="shared" si="1"/>
        <v>0</v>
      </c>
    </row>
    <row r="18" spans="1:13">
      <c r="A18" s="55" t="s">
        <v>355</v>
      </c>
      <c r="C18" s="54">
        <v>0</v>
      </c>
      <c r="D18" s="10" t="s">
        <v>356</v>
      </c>
      <c r="E18" s="10" t="s">
        <v>368</v>
      </c>
      <c r="H18" s="10" t="s">
        <v>128</v>
      </c>
      <c r="I18" s="10" t="s">
        <v>352</v>
      </c>
      <c r="J18" s="18">
        <v>0</v>
      </c>
      <c r="K18" s="50">
        <v>7</v>
      </c>
      <c r="L18" s="4">
        <f t="shared" si="0"/>
        <v>3500</v>
      </c>
      <c r="M18" s="4">
        <f t="shared" si="1"/>
        <v>3500</v>
      </c>
    </row>
    <row r="19" spans="1:13">
      <c r="A19" s="55" t="s">
        <v>244</v>
      </c>
      <c r="B19" s="10">
        <v>4500029050</v>
      </c>
      <c r="C19" s="54">
        <v>54500</v>
      </c>
      <c r="D19" s="10" t="s">
        <v>363</v>
      </c>
      <c r="E19" s="10" t="s">
        <v>368</v>
      </c>
      <c r="F19" t="s">
        <v>369</v>
      </c>
      <c r="H19" s="10" t="s">
        <v>80</v>
      </c>
      <c r="I19" s="10" t="s">
        <v>65</v>
      </c>
      <c r="J19" s="18">
        <v>2000</v>
      </c>
      <c r="K19" s="50">
        <v>0</v>
      </c>
      <c r="L19" s="4">
        <f t="shared" si="0"/>
        <v>0</v>
      </c>
      <c r="M19" s="4">
        <f t="shared" si="1"/>
        <v>2000</v>
      </c>
    </row>
    <row r="20" spans="1:13">
      <c r="A20" s="55" t="s">
        <v>244</v>
      </c>
      <c r="B20" s="10">
        <v>4500029050</v>
      </c>
      <c r="C20" s="54">
        <v>54500</v>
      </c>
      <c r="D20" s="10" t="s">
        <v>363</v>
      </c>
      <c r="E20" s="10" t="s">
        <v>368</v>
      </c>
      <c r="F20" t="s">
        <v>369</v>
      </c>
      <c r="H20" s="10" t="s">
        <v>79</v>
      </c>
      <c r="I20" s="10" t="s">
        <v>65</v>
      </c>
      <c r="J20" s="18">
        <v>2000</v>
      </c>
      <c r="K20" s="50">
        <v>0</v>
      </c>
      <c r="L20" s="4">
        <f t="shared" si="0"/>
        <v>0</v>
      </c>
      <c r="M20" s="4">
        <f t="shared" si="1"/>
        <v>2000</v>
      </c>
    </row>
    <row r="21" spans="1:13">
      <c r="A21" s="55" t="s">
        <v>244</v>
      </c>
      <c r="B21" s="10">
        <v>4500029630</v>
      </c>
      <c r="C21" s="54">
        <v>35600</v>
      </c>
      <c r="D21" s="10" t="s">
        <v>363</v>
      </c>
      <c r="E21" s="10" t="s">
        <v>368</v>
      </c>
      <c r="F21" t="s">
        <v>369</v>
      </c>
      <c r="H21" s="10" t="s">
        <v>80</v>
      </c>
      <c r="I21" s="10" t="s">
        <v>65</v>
      </c>
      <c r="J21" s="18">
        <v>1000</v>
      </c>
      <c r="K21" s="50">
        <v>0</v>
      </c>
      <c r="L21" s="4">
        <f t="shared" si="0"/>
        <v>0</v>
      </c>
      <c r="M21" s="4">
        <f t="shared" si="1"/>
        <v>1000</v>
      </c>
    </row>
    <row r="22" spans="1:13">
      <c r="A22" s="55" t="s">
        <v>244</v>
      </c>
      <c r="B22" s="10">
        <v>4500029630</v>
      </c>
      <c r="C22" s="54">
        <v>35600</v>
      </c>
      <c r="D22" s="10" t="s">
        <v>363</v>
      </c>
      <c r="E22" s="10" t="s">
        <v>368</v>
      </c>
      <c r="F22" t="s">
        <v>369</v>
      </c>
      <c r="H22" s="10" t="s">
        <v>79</v>
      </c>
      <c r="I22" s="10" t="s">
        <v>65</v>
      </c>
      <c r="J22" s="18">
        <v>1000</v>
      </c>
      <c r="K22" s="50">
        <v>0</v>
      </c>
      <c r="L22" s="4">
        <f t="shared" si="0"/>
        <v>0</v>
      </c>
      <c r="M22" s="4">
        <f t="shared" si="1"/>
        <v>1000</v>
      </c>
    </row>
  </sheetData>
  <autoFilter ref="A1:M22" xr:uid="{9D081486-6870-471B-9900-64E1D4B2B104}">
    <filterColumn colId="4">
      <filters>
        <filter val="ABRIL"/>
      </filters>
    </filterColumn>
  </autoFilter>
  <pageMargins left="0.15625" right="9.375E-2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Johana Universal</dc:creator>
  <cp:keywords/>
  <dc:description/>
  <cp:lastModifiedBy>Usuario invitado</cp:lastModifiedBy>
  <cp:revision/>
  <dcterms:created xsi:type="dcterms:W3CDTF">2026-01-19T22:20:16Z</dcterms:created>
  <dcterms:modified xsi:type="dcterms:W3CDTF">2026-04-15T02:36:21Z</dcterms:modified>
  <cp:category/>
  <cp:contentStatus/>
</cp:coreProperties>
</file>